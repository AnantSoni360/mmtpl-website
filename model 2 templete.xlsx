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ject Data" sheetId="2" state="visible" r:id="rId4"/>
    <sheet name="Workforce Data" sheetId="3" state="visible" r:id="rId5"/>
    <sheet name="Equipment Data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<sst xmlns="http://schemas.openxmlformats.org/spreadsheetml/2006/main" count="411" uniqueCount="262">
  <si>
    <t xml:space="preserve">MMTPL — AI Model Data Collection Kit</t>
  </si>
  <si>
    <t xml:space="preserve">Phase 3 — Project Intelligence Module  ·  Fill all yellow columns for each past project</t>
  </si>
  <si>
    <t xml:space="preserve">How to use this file</t>
  </si>
  <si>
    <t xml:space="preserve">Step 1</t>
  </si>
  <si>
    <t xml:space="preserve">Go to the 'Project Data' sheet — this is where you enter all past project information.</t>
  </si>
  <si>
    <t xml:space="preserve">Step 2</t>
  </si>
  <si>
    <t xml:space="preserve">Each ROW = one completed project. Fill as many past projects as you can. Minimum 15 projects for good AI accuracy.</t>
  </si>
  <si>
    <t xml:space="preserve">Step 3</t>
  </si>
  <si>
    <t xml:space="preserve">Yellow columns are REQUIRED. Green columns are important. White columns are optional but help improve accuracy.</t>
  </si>
  <si>
    <t xml:space="preserve">Step 4</t>
  </si>
  <si>
    <t xml:space="preserve">Go to 'Workforce Data' sheet — fill the workforce breakdown for each project (how many riggers, welders etc.)</t>
  </si>
  <si>
    <t xml:space="preserve">Step 5</t>
  </si>
  <si>
    <t xml:space="preserve">Go to 'Equipment Data' sheet — fill which equipment was used on each project.</t>
  </si>
  <si>
    <t xml:space="preserve">Step 6</t>
  </si>
  <si>
    <t xml:space="preserve">The 'Summary' sheet will auto-calculate once you fill data — do not edit it manually.</t>
  </si>
  <si>
    <t xml:space="preserve">Step 7</t>
  </si>
  <si>
    <t xml:space="preserve">Send this file to your developer. They will feed it into the AI model on the portal.</t>
  </si>
  <si>
    <t xml:space="preserve">Colour legend</t>
  </si>
  <si>
    <t xml:space="preserve">  Yellow</t>
  </si>
  <si>
    <t xml:space="preserve">REQUIRED — must fill for AI to work</t>
  </si>
  <si>
    <t xml:space="preserve">  Green</t>
  </si>
  <si>
    <t xml:space="preserve">IMPORTANT — improves accuracy significantly</t>
  </si>
  <si>
    <t xml:space="preserve">  White</t>
  </si>
  <si>
    <t xml:space="preserve">OPTIONAL — fill if available</t>
  </si>
  <si>
    <t xml:space="preserve">  Blue</t>
  </si>
  <si>
    <t xml:space="preserve">AUTO-CALCULATED — formula fills this automatically</t>
  </si>
  <si>
    <t xml:space="preserve">Accuracy target: 95%+  ·  Minimum 15 projects needed  ·  30+ projects = highest accuracy</t>
  </si>
  <si>
    <t xml:space="preserve">Project Identification</t>
  </si>
  <si>
    <t xml:space="preserve">Project Type</t>
  </si>
  <si>
    <t xml:space="preserve">Location</t>
  </si>
  <si>
    <t xml:space="preserve">Timeline</t>
  </si>
  <si>
    <t xml:space="preserve">Contract Value</t>
  </si>
  <si>
    <t xml:space="preserve">Scope &amp; Quantity</t>
  </si>
  <si>
    <t xml:space="preserve">Workforce</t>
  </si>
  <si>
    <t xml:space="preserve">Equipment</t>
  </si>
  <si>
    <t xml:space="preserve">Outcome &amp; Risk</t>
  </si>
  <si>
    <t xml:space="preserve">Project #</t>
  </si>
  <si>
    <t xml:space="preserve">Project Name</t>
  </si>
  <si>
    <t xml:space="preserve">Client Name</t>
  </si>
  <si>
    <t xml:space="preserve">Client Industry</t>
  </si>
  <si>
    <t xml:space="preserve">Category</t>
  </si>
  <si>
    <t xml:space="preserve">Sub-type</t>
  </si>
  <si>
    <t xml:space="preserve">Contract Type</t>
  </si>
  <si>
    <t xml:space="preserve">Location — City</t>
  </si>
  <si>
    <t xml:space="preserve">Location — State</t>
  </si>
  <si>
    <t xml:space="preserve">Country</t>
  </si>
  <si>
    <t xml:space="preserve">Start Date</t>
  </si>
  <si>
    <t xml:space="preserve">End Date</t>
  </si>
  <si>
    <t xml:space="preserve">Planned Duration (days)</t>
  </si>
  <si>
    <t xml:space="preserve">Actual Duration (days)</t>
  </si>
  <si>
    <t xml:space="preserve">Delay (days)</t>
  </si>
  <si>
    <t xml:space="preserve">Contract Value (₹ Cr)</t>
  </si>
  <si>
    <t xml:space="preserve">Contract Value (USD M)</t>
  </si>
  <si>
    <t xml:space="preserve">Currency</t>
  </si>
  <si>
    <t xml:space="preserve">Approx Cost (₹ Cr)</t>
  </si>
  <si>
    <t xml:space="preserve">Profit Margin %</t>
  </si>
  <si>
    <t xml:space="preserve">Scope Quantity</t>
  </si>
  <si>
    <t xml:space="preserve">Scope Unit</t>
  </si>
  <si>
    <t xml:space="preserve">Scope Description</t>
  </si>
  <si>
    <t xml:space="preserve">Peak Total Workforce</t>
  </si>
  <si>
    <t xml:space="preserve">Engineers (nos.)</t>
  </si>
  <si>
    <t xml:space="preserve">Supervisors (nos.)</t>
  </si>
  <si>
    <t xml:space="preserve">Skilled Workers (nos.)</t>
  </si>
  <si>
    <t xml:space="preserve">Helpers (nos.)</t>
  </si>
  <si>
    <t xml:space="preserve">Subcontractors (nos.)</t>
  </si>
  <si>
    <t xml:space="preserve">Major Crane Used</t>
  </si>
  <si>
    <t xml:space="preserve">No. of Cranes</t>
  </si>
  <si>
    <t xml:space="preserve">No. of Hydras</t>
  </si>
  <si>
    <t xml:space="preserve">No. of Welding Machines</t>
  </si>
  <si>
    <t xml:space="preserve">Scaffolding (pipes nos.)</t>
  </si>
  <si>
    <t xml:space="preserve">Was it On Time?</t>
  </si>
  <si>
    <t xml:space="preserve">Safety Incidents</t>
  </si>
  <si>
    <t xml:space="preserve">Client Satisfaction</t>
  </si>
  <si>
    <t xml:space="preserve">Repeat Order from Client</t>
  </si>
  <si>
    <t xml:space="preserve">Notes / Remarks</t>
  </si>
  <si>
    <t xml:space="preserve">Auto number — e.g. 1, 2, 3</t>
  </si>
  <si>
    <t xml:space="preserve">Full project name — e.g. BOF Works JSOL Angul</t>
  </si>
  <si>
    <t xml:space="preserve">Client company — e.g. JSW Steel, JSPL, LMEL</t>
  </si>
  <si>
    <t xml:space="preserve">STEEL / CEMENT / POWER / MINING / CHEMICAL / INFRASTRUCTURE</t>
  </si>
  <si>
    <t xml:space="preserve">REFRACTORY / STRUCTURAL / MECHANICAL / ELECTRICAL / CIVIL / EPC_TURNKEY / O&amp;M</t>
  </si>
  <si>
    <t xml:space="preserve">More detail — e.g. Coke Oven, Blast Furnace, Pellet Plant, SMS, BOF, Billet Caster</t>
  </si>
  <si>
    <t xml:space="preserve">EPC / ITEM_RATE / LUMP_SUM / O&amp;M</t>
  </si>
  <si>
    <t xml:space="preserve">City or town — e.g. Angul, Bellary, Jajpur, Ghugus</t>
  </si>
  <si>
    <t xml:space="preserve">State — e.g. Odisha, Karnataka, Maharashtra</t>
  </si>
  <si>
    <t xml:space="preserve">India / Oman / UAE / Saudi Arabia</t>
  </si>
  <si>
    <t xml:space="preserve">dd-mm-yyyy — actual start date on site</t>
  </si>
  <si>
    <t xml:space="preserve">dd-mm-yyyy — actual completion date</t>
  </si>
  <si>
    <t xml:space="preserve">Original planned duration in days from contract</t>
  </si>
  <si>
    <t xml:space="preserve">AUTO: End Date minus Start Date</t>
  </si>
  <si>
    <t xml:space="preserve">AUTO: Actual minus Planned (0 if on time)</t>
  </si>
  <si>
    <t xml:space="preserve">Final contract amount in Indian Crores — e.g. 91.56</t>
  </si>
  <si>
    <t xml:space="preserve">For overseas projects in USD Millions — e.g. 3.17</t>
  </si>
  <si>
    <t xml:space="preserve">INR / USD / OMR / AED</t>
  </si>
  <si>
    <t xml:space="preserve">Your actual cost to execute — if known</t>
  </si>
  <si>
    <t xml:space="preserve">Formula: (Contract Value − Approx Cost) / Contract Value × 100</t>
  </si>
  <si>
    <t xml:space="preserve">The main measurable number — e.g. 34000 for '34,000 MT steel'</t>
  </si>
  <si>
    <t xml:space="preserve">MT / SQM / RMT / TPD / KM / NUMBERS / INCH-M</t>
  </si>
  <si>
    <t xml:space="preserve">Full scope in plain text — e.g. Structural fabrication and erection of BOF building</t>
  </si>
  <si>
    <t xml:space="preserve">Maximum number of people working at one time on this project</t>
  </si>
  <si>
    <t xml:space="preserve">Number of engineers at peak</t>
  </si>
  <si>
    <t xml:space="preserve">Number of supervisors / foremen at peak</t>
  </si>
  <si>
    <t xml:space="preserve">Riggers + Fitters + Welders + Gas Cutters</t>
  </si>
  <si>
    <t xml:space="preserve">Helpers + Khalasis at peak</t>
  </si>
  <si>
    <t xml:space="preserve">External subcontractor workforce if any</t>
  </si>
  <si>
    <t xml:space="preserve">Largest crane capacity — e.g. 300T, 150T, 80T, 50T</t>
  </si>
  <si>
    <t xml:space="preserve">Total cranes on site</t>
  </si>
  <si>
    <t xml:space="preserve">F-15 Hydras used</t>
  </si>
  <si>
    <t xml:space="preserve">Rectifiers + SAW + MIG combined</t>
  </si>
  <si>
    <t xml:space="preserve">Scaffolding pipe quantity used</t>
  </si>
  <si>
    <t xml:space="preserve">YES / NO</t>
  </si>
  <si>
    <t xml:space="preserve">Number of recordable incidents (0 for NIL)</t>
  </si>
  <si>
    <t xml:space="preserve">EXCELLENT / GOOD / AVERAGE / POOR</t>
  </si>
  <si>
    <t xml:space="preserve">YES / NO — did client give another contract?</t>
  </si>
  <si>
    <t xml:space="preserve">Any important notes about this project</t>
  </si>
  <si>
    <t xml:space="preserve">Refractory Erection</t>
  </si>
  <si>
    <t xml:space="preserve">JSW Steel</t>
  </si>
  <si>
    <t xml:space="preserve">STEEL</t>
  </si>
  <si>
    <t xml:space="preserve">REFRACTORY</t>
  </si>
  <si>
    <t xml:space="preserve">Coke Oven</t>
  </si>
  <si>
    <t xml:space="preserve">ITEM_RATE</t>
  </si>
  <si>
    <t xml:space="preserve">Bellary</t>
  </si>
  <si>
    <t xml:space="preserve">Karnataka</t>
  </si>
  <si>
    <t xml:space="preserve">India</t>
  </si>
  <si>
    <t xml:space="preserve">INR</t>
  </si>
  <si>
    <t xml:space="preserve">MT</t>
  </si>
  <si>
    <t xml:space="preserve">Refractory erection for coke oven plant</t>
  </si>
  <si>
    <t xml:space="preserve">YES</t>
  </si>
  <si>
    <t xml:space="preserve">Equipment Erection</t>
  </si>
  <si>
    <t xml:space="preserve">MECHANICAL</t>
  </si>
  <si>
    <t xml:space="preserve">EPC</t>
  </si>
  <si>
    <t xml:space="preserve">Erection of equipment for coke oven plant</t>
  </si>
  <si>
    <t xml:space="preserve">LCP Work</t>
  </si>
  <si>
    <t xml:space="preserve">JSL Ltd</t>
  </si>
  <si>
    <t xml:space="preserve">LCP</t>
  </si>
  <si>
    <t xml:space="preserve">Jajpur</t>
  </si>
  <si>
    <t xml:space="preserve">Odisha</t>
  </si>
  <si>
    <t xml:space="preserve">LCP mechanical works at JSL Jajpur</t>
  </si>
  <si>
    <t xml:space="preserve">SMS-3 Works</t>
  </si>
  <si>
    <t xml:space="preserve">EPC_TURNKEY</t>
  </si>
  <si>
    <t xml:space="preserve">SMS</t>
  </si>
  <si>
    <t xml:space="preserve">SMS-3 structural and mechanical works</t>
  </si>
  <si>
    <t xml:space="preserve">SSD Works — Pellet</t>
  </si>
  <si>
    <t xml:space="preserve">JSOL</t>
  </si>
  <si>
    <t xml:space="preserve">STRUCTURAL</t>
  </si>
  <si>
    <t xml:space="preserve">Pellet Plant</t>
  </si>
  <si>
    <t xml:space="preserve">Angul</t>
  </si>
  <si>
    <t xml:space="preserve">SSD structural works for pellet plant</t>
  </si>
  <si>
    <t xml:space="preserve">Pellet Plant SSD Works</t>
  </si>
  <si>
    <t xml:space="preserve">Pellet plant SSD works at JSOL Angul</t>
  </si>
  <si>
    <t xml:space="preserve">Caster Works</t>
  </si>
  <si>
    <t xml:space="preserve">Billet Caster</t>
  </si>
  <si>
    <t xml:space="preserve">Caster mechanical works at JSOL Angul</t>
  </si>
  <si>
    <t xml:space="preserve">Pellet Plant Works</t>
  </si>
  <si>
    <t xml:space="preserve">MSPL</t>
  </si>
  <si>
    <t xml:space="preserve">Sandur</t>
  </si>
  <si>
    <t xml:space="preserve">TPD</t>
  </si>
  <si>
    <t xml:space="preserve">Complete pellet plant works at MSPL Sandur</t>
  </si>
  <si>
    <t xml:space="preserve">BOF Works</t>
  </si>
  <si>
    <t xml:space="preserve">BOF</t>
  </si>
  <si>
    <t xml:space="preserve">Fabrication and erection 34000 MT structural steel for BOF plant</t>
  </si>
  <si>
    <t xml:space="preserve">Fabrication SSD</t>
  </si>
  <si>
    <t xml:space="preserve">JSPL</t>
  </si>
  <si>
    <t xml:space="preserve">SSD</t>
  </si>
  <si>
    <t xml:space="preserve">Fabrication work at SSD 9400 MT</t>
  </si>
  <si>
    <t xml:space="preserve">Erection Fabricated Structures</t>
  </si>
  <si>
    <t xml:space="preserve">TPL</t>
  </si>
  <si>
    <t xml:space="preserve">General</t>
  </si>
  <si>
    <t xml:space="preserve">Erection of fabricated structures 18400 MT</t>
  </si>
  <si>
    <t xml:space="preserve">Pellet Plant RHI Magnesita</t>
  </si>
  <si>
    <t xml:space="preserve">RHI Magnesita India</t>
  </si>
  <si>
    <t xml:space="preserve">CEMENT</t>
  </si>
  <si>
    <t xml:space="preserve">Chandrapur</t>
  </si>
  <si>
    <t xml:space="preserve">Maharashtra</t>
  </si>
  <si>
    <t xml:space="preserve">Refractory erection for pellet plant 2366 MT</t>
  </si>
  <si>
    <t xml:space="preserve">Refractory Erection Coke Oven</t>
  </si>
  <si>
    <t xml:space="preserve">LMEL</t>
  </si>
  <si>
    <t xml:space="preserve">Ghugus</t>
  </si>
  <si>
    <t xml:space="preserve">Refractory erection coke oven 22100 MT</t>
  </si>
  <si>
    <t xml:space="preserve">Mechanical Erection Coke Oven</t>
  </si>
  <si>
    <t xml:space="preserve">Coke Oven + CDQ</t>
  </si>
  <si>
    <t xml:space="preserve">Mechanical erection coke oven and CDQ equipment 12000 MT</t>
  </si>
  <si>
    <t xml:space="preserve">Workforce Breakdown by Worker Type — fill for each project</t>
  </si>
  <si>
    <t xml:space="preserve">Riggers</t>
  </si>
  <si>
    <t xml:space="preserve">Fitters</t>
  </si>
  <si>
    <t xml:space="preserve">Welders — Rectifier</t>
  </si>
  <si>
    <t xml:space="preserve">Welders — SAW</t>
  </si>
  <si>
    <t xml:space="preserve">Welders — MIG</t>
  </si>
  <si>
    <t xml:space="preserve">Gas Cutters</t>
  </si>
  <si>
    <t xml:space="preserve">Grinders</t>
  </si>
  <si>
    <t xml:space="preserve">Fabricators</t>
  </si>
  <si>
    <t xml:space="preserve">Electricians</t>
  </si>
  <si>
    <t xml:space="preserve">Plumbers / Pipefitters</t>
  </si>
  <si>
    <t xml:space="preserve">Khalasis / Helpers</t>
  </si>
  <si>
    <t xml:space="preserve">Foremen</t>
  </si>
  <si>
    <t xml:space="preserve">Site Engineers</t>
  </si>
  <si>
    <t xml:space="preserve">Supervisors</t>
  </si>
  <si>
    <t xml:space="preserve">HSE Officers</t>
  </si>
  <si>
    <t xml:space="preserve">Store / Admin</t>
  </si>
  <si>
    <t xml:space="preserve">Crane Operators</t>
  </si>
  <si>
    <t xml:space="preserve">Total Workers</t>
  </si>
  <si>
    <t xml:space="preserve">Total Supervisory</t>
  </si>
  <si>
    <t xml:space="preserve">Grand Total</t>
  </si>
  <si>
    <t xml:space="preserve">Auto</t>
  </si>
  <si>
    <t xml:space="preserve">Link to Project Data sheet</t>
  </si>
  <si>
    <t xml:space="preserve">600A rectifier welders</t>
  </si>
  <si>
    <t xml:space="preserve">SAW welders</t>
  </si>
  <si>
    <t xml:space="preserve">MIG welders</t>
  </si>
  <si>
    <t xml:space="preserve">Gas cutters</t>
  </si>
  <si>
    <t xml:space="preserve">Angle grinders</t>
  </si>
  <si>
    <t xml:space="preserve">Structural fabricators</t>
  </si>
  <si>
    <t xml:space="preserve">E&amp;I electricians</t>
  </si>
  <si>
    <t xml:space="preserve">Pipe fitters / plumbers</t>
  </si>
  <si>
    <t xml:space="preserve">General helpers</t>
  </si>
  <si>
    <t xml:space="preserve">Site foremen</t>
  </si>
  <si>
    <t xml:space="preserve">Graduate engineers</t>
  </si>
  <si>
    <t xml:space="preserve">Technical supervisors</t>
  </si>
  <si>
    <t xml:space="preserve">HSE staff</t>
  </si>
  <si>
    <t xml:space="preserve">Store + admin staff</t>
  </si>
  <si>
    <t xml:space="preserve">Crane / Hydra operators</t>
  </si>
  <si>
    <t xml:space="preserve">Formula: sum of all worker-type columns</t>
  </si>
  <si>
    <t xml:space="preserve">Formula: Foremen + Engineers + Supervisors + HSE + Admin</t>
  </si>
  <si>
    <t xml:space="preserve">Formula: Total Workers + Total Supervisory</t>
  </si>
  <si>
    <t xml:space="preserve">Equipment Deployment Data — fill quantity used on each project (enter 0 if not used)</t>
  </si>
  <si>
    <t xml:space="preserve">300T Crane</t>
  </si>
  <si>
    <t xml:space="preserve">150T Crane</t>
  </si>
  <si>
    <t xml:space="preserve">80T Crane</t>
  </si>
  <si>
    <t xml:space="preserve">50T Crane</t>
  </si>
  <si>
    <t xml:space="preserve">F-15 Hydra (15T)</t>
  </si>
  <si>
    <t xml:space="preserve">Gantry 40T</t>
  </si>
  <si>
    <t xml:space="preserve">Gantry 25T</t>
  </si>
  <si>
    <t xml:space="preserve">Man Lifter 120ft</t>
  </si>
  <si>
    <t xml:space="preserve">Man Lifter 80ft</t>
  </si>
  <si>
    <t xml:space="preserve">Welding — Rectifier</t>
  </si>
  <si>
    <t xml:space="preserve">Welding — SAW 1200A</t>
  </si>
  <si>
    <t xml:space="preserve">Welding — MIG 1200A</t>
  </si>
  <si>
    <t xml:space="preserve">Forklift 3T</t>
  </si>
  <si>
    <t xml:space="preserve">Scaffolding Pipes</t>
  </si>
  <si>
    <t xml:space="preserve">Scaffolding Clamps</t>
  </si>
  <si>
    <t xml:space="preserve">Total Equipment Units</t>
  </si>
  <si>
    <t xml:space="preserve">Major Equipment Note</t>
  </si>
  <si>
    <t xml:space="preserve">Data Collection Summary — auto-calculated</t>
  </si>
  <si>
    <t xml:space="preserve">This sheet updates automatically as you fill Project Data</t>
  </si>
  <si>
    <t xml:space="preserve">Total projects entered</t>
  </si>
  <si>
    <t xml:space="preserve">Projects with full data</t>
  </si>
  <si>
    <t xml:space="preserve">Total contract value (₹ Cr)</t>
  </si>
  <si>
    <t xml:space="preserve">Avg contract value (₹ Cr)</t>
  </si>
  <si>
    <t xml:space="preserve">Largest contract (₹ Cr)</t>
  </si>
  <si>
    <t xml:space="preserve">Smallest contract (₹ Cr)</t>
  </si>
  <si>
    <t xml:space="preserve">Projects on time</t>
  </si>
  <si>
    <t xml:space="preserve">Projects delayed</t>
  </si>
  <si>
    <t xml:space="preserve">On-time rate %</t>
  </si>
  <si>
    <t xml:space="preserve">AI Model Readiness</t>
  </si>
  <si>
    <t xml:space="preserve">&lt; 10 projects</t>
  </si>
  <si>
    <t xml:space="preserve">Insufficient — more data needed</t>
  </si>
  <si>
    <t xml:space="preserve">10–14 projects</t>
  </si>
  <si>
    <t xml:space="preserve">Minimum — predictions will have wide range</t>
  </si>
  <si>
    <t xml:space="preserve">15–24 projects</t>
  </si>
  <si>
    <t xml:space="preserve">Good — 85–92% accuracy expected</t>
  </si>
  <si>
    <t xml:space="preserve">25–34 projects</t>
  </si>
  <si>
    <t xml:space="preserve">Very good — 92–95% accuracy expected</t>
  </si>
  <si>
    <t xml:space="preserve">35+ projects</t>
  </si>
  <si>
    <t xml:space="preserve">Excellent — 95%+ accuracy, deploy with confidence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</si>
</sst>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"/>
    <numFmt numFmtId="167" formatCode="#,##0.00"/>
    <numFmt numFmtId="168" formatCode="#,##0"/>
    <numFmt numFmtId="169" formatCode="0.0%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3"/>
      <color rgb="FF0A16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2"/>
      <color rgb="FF0A1628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b val="true"/>
      <sz val="9"/>
      <color rgb="FF0A1628"/>
      <name val="Arial"/>
      <family val="0"/>
      <charset val="1"/>
    </font>
    <font>
      <b val="true"/>
      <sz val="9"/>
      <color rgb="FF444441"/>
      <name val="Arial"/>
      <family val="0"/>
      <charset val="1"/>
    </font>
    <font>
      <i val="true"/>
      <sz val="8"/>
      <color rgb="FF888780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1"/>
      <color rgb="FF444441"/>
      <name val="Arial"/>
      <family val="0"/>
      <charset val="1"/>
    </font>
    <font>
      <b val="true"/>
      <sz val="12"/>
      <color rgb="FF0C447C"/>
      <name val="Arial"/>
      <family val="0"/>
      <charset val="1"/>
    </font>
    <font>
      <b val="true"/>
      <sz val="12"/>
      <color rgb="FF085041"/>
      <name val="Arial"/>
      <family val="0"/>
      <charset val="1"/>
    </font>
    <font>
      <b val="true"/>
      <sz val="12"/>
      <color rgb="FF791F1F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sz val="10"/>
      <color rgb="FF633806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085041"/>
      <name val="Arial"/>
      <family val="0"/>
      <charset val="1"/>
    </font>
    <font>
      <sz val="10"/>
      <color rgb="FF044A2F"/>
      <name val="Arial"/>
      <family val="0"/>
      <charset val="1"/>
    </font>
    <font>
      <b val="true"/>
      <sz val="10"/>
      <color rgb="FF044A2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E85D24"/>
        <bgColor rgb="FFB45309"/>
      </patternFill>
    </fill>
    <fill>
      <patternFill patternType="solid">
        <fgColor rgb="FFFFF3CD"/>
        <bgColor rgb="FFFAEEDA"/>
      </patternFill>
    </fill>
    <fill>
      <patternFill patternType="solid">
        <fgColor rgb="FFEAF3DE"/>
        <bgColor rgb="FFE1F5EE"/>
      </patternFill>
    </fill>
    <fill>
      <patternFill patternType="solid">
        <fgColor rgb="FFFFFFFF"/>
        <bgColor rgb="FFFAFAF9"/>
      </patternFill>
    </fill>
    <fill>
      <patternFill patternType="solid">
        <fgColor rgb="FFE6F1FB"/>
        <bgColor rgb="FFE1F5EE"/>
      </patternFill>
    </fill>
    <fill>
      <patternFill patternType="solid">
        <fgColor rgb="FFE1F5EE"/>
        <bgColor rgb="FFE6F1FB"/>
      </patternFill>
    </fill>
    <fill>
      <patternFill patternType="solid">
        <fgColor rgb="FFF5F2F0"/>
        <bgColor rgb="FFF9F7F5"/>
      </patternFill>
    </fill>
    <fill>
      <patternFill patternType="solid">
        <fgColor rgb="FFF9F7F5"/>
        <bgColor rgb="FFFAFAF9"/>
      </patternFill>
    </fill>
    <fill>
      <patternFill patternType="solid">
        <fgColor rgb="FFF4FAF0"/>
        <bgColor rgb="FFF9F7F5"/>
      </patternFill>
    </fill>
    <fill>
      <patternFill patternType="solid">
        <fgColor rgb="FFFAFAF9"/>
        <bgColor rgb="FFF9F7F5"/>
      </patternFill>
    </fill>
    <fill>
      <patternFill patternType="solid">
        <fgColor rgb="FF444441"/>
        <bgColor rgb="FF633806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C8F0DA"/>
        <bgColor rgb="FFE1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medium">
        <color rgb="FF0A16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9"/>
      <rgbColor rgb="FFFF00FF"/>
      <rgbColor rgb="FF00FFFF"/>
      <rgbColor rgb="FF800000"/>
      <rgbColor rgb="FF008000"/>
      <rgbColor rgb="FF0A1628"/>
      <rgbColor rgb="FF808000"/>
      <rgbColor rgb="FF800080"/>
      <rgbColor rgb="FF0D7A5F"/>
      <rgbColor rgb="FFEAF3DE"/>
      <rgbColor rgb="FF888780"/>
      <rgbColor rgb="FF9999FF"/>
      <rgbColor rgb="FFB45309"/>
      <rgbColor rgb="FFFFF3CD"/>
      <rgbColor rgb="FFE1F5EE"/>
      <rgbColor rgb="FF660066"/>
      <rgbColor rgb="FFFF8080"/>
      <rgbColor rgb="FF185FA5"/>
      <rgbColor rgb="FFD6D6D6"/>
      <rgbColor rgb="FF000080"/>
      <rgbColor rgb="FFFF00FF"/>
      <rgbColor rgb="FFFFFF00"/>
      <rgbColor rgb="FF00FFFF"/>
      <rgbColor rgb="FF800080"/>
      <rgbColor rgb="FF800000"/>
      <rgbColor rgb="FF085041"/>
      <rgbColor rgb="FF0000FF"/>
      <rgbColor rgb="FF00CCFF"/>
      <rgbColor rgb="FFE6F1FB"/>
      <rgbColor rgb="FFC8F0DA"/>
      <rgbColor rgb="FFFAEEDA"/>
      <rgbColor rgb="FFF5F2F0"/>
      <rgbColor rgb="FFF9F7F5"/>
      <rgbColor rgb="FFF4FAF0"/>
      <rgbColor rgb="FFFCEBEB"/>
      <rgbColor rgb="FF3366FF"/>
      <rgbColor rgb="FF33CCCC"/>
      <rgbColor rgb="FF99CC00"/>
      <rgbColor rgb="FFFFCC00"/>
      <rgbColor rgb="FFFF9900"/>
      <rgbColor rgb="FFE85D24"/>
      <rgbColor rgb="FF666699"/>
      <rgbColor rgb="FF969696"/>
      <rgbColor rgb="FF0C447C"/>
      <rgbColor rgb="FF339966"/>
      <rgbColor rgb="FF044A2F"/>
      <rgbColor rgb="FF633806"/>
      <rgbColor rgb="FF791F1F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628"/>
    <pageSetUpPr fitToPage="false"/>
  </sheetPr>
  <dimension ref="B1:D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26" min="5" style="0" width="8.71"/>
  </cols>
  <sheetData>
    <row r="1" customFormat="false" ht="43.5" hidden="false" customHeight="true" outlineLevel="0" collapsed="false">
      <c r="B1" s="1" t="s">
        <v>0</v>
      </c>
      <c r="C1" s="1"/>
      <c r="D1" s="1"/>
    </row>
    <row r="2" customFormat="false" ht="27.75" hidden="false" customHeight="true" outlineLevel="0" collapsed="false">
      <c r="B2" s="2" t="s">
        <v>1</v>
      </c>
      <c r="C2" s="2"/>
      <c r="D2" s="2"/>
    </row>
    <row r="4" customFormat="false" ht="18" hidden="false" customHeight="true" outlineLevel="0" collapsed="false">
      <c r="B4" s="3" t="s">
        <v>2</v>
      </c>
      <c r="C4" s="3"/>
      <c r="D4" s="3"/>
    </row>
    <row r="6" customFormat="false" ht="30" hidden="false" customHeight="true" outlineLevel="0" collapsed="false">
      <c r="B6" s="4" t="s">
        <v>3</v>
      </c>
      <c r="C6" s="5" t="s">
        <v>4</v>
      </c>
      <c r="D6" s="5"/>
    </row>
    <row r="7" customFormat="false" ht="30" hidden="false" customHeight="true" outlineLevel="0" collapsed="false">
      <c r="B7" s="4" t="s">
        <v>5</v>
      </c>
      <c r="C7" s="5" t="s">
        <v>6</v>
      </c>
      <c r="D7" s="5"/>
    </row>
    <row r="8" customFormat="false" ht="30" hidden="false" customHeight="true" outlineLevel="0" collapsed="false">
      <c r="B8" s="4" t="s">
        <v>7</v>
      </c>
      <c r="C8" s="5" t="s">
        <v>8</v>
      </c>
      <c r="D8" s="5"/>
    </row>
    <row r="9" customFormat="false" ht="30" hidden="false" customHeight="true" outlineLevel="0" collapsed="false">
      <c r="B9" s="4" t="s">
        <v>9</v>
      </c>
      <c r="C9" s="5" t="s">
        <v>10</v>
      </c>
      <c r="D9" s="5"/>
    </row>
    <row r="10" customFormat="false" ht="30" hidden="false" customHeight="true" outlineLevel="0" collapsed="false">
      <c r="B10" s="4" t="s">
        <v>11</v>
      </c>
      <c r="C10" s="5" t="s">
        <v>12</v>
      </c>
      <c r="D10" s="5"/>
    </row>
    <row r="11" customFormat="false" ht="30" hidden="false" customHeight="true" outlineLevel="0" collapsed="false">
      <c r="B11" s="4" t="s">
        <v>13</v>
      </c>
      <c r="C11" s="5" t="s">
        <v>14</v>
      </c>
      <c r="D11" s="5"/>
    </row>
    <row r="12" customFormat="false" ht="30" hidden="false" customHeight="true" outlineLevel="0" collapsed="false">
      <c r="B12" s="4" t="s">
        <v>15</v>
      </c>
      <c r="C12" s="5" t="s">
        <v>16</v>
      </c>
      <c r="D12" s="5"/>
    </row>
    <row r="15" customFormat="false" ht="21.75" hidden="false" customHeight="true" outlineLevel="0" collapsed="false">
      <c r="B15" s="6" t="s">
        <v>17</v>
      </c>
    </row>
    <row r="16" customFormat="false" ht="24" hidden="false" customHeight="true" outlineLevel="0" collapsed="false">
      <c r="B16" s="7" t="s">
        <v>18</v>
      </c>
      <c r="C16" s="8" t="s">
        <v>19</v>
      </c>
      <c r="D16" s="8"/>
    </row>
    <row r="17" customFormat="false" ht="24" hidden="false" customHeight="true" outlineLevel="0" collapsed="false">
      <c r="B17" s="9" t="s">
        <v>20</v>
      </c>
      <c r="C17" s="10" t="s">
        <v>21</v>
      </c>
      <c r="D17" s="10"/>
    </row>
    <row r="18" customFormat="false" ht="24" hidden="false" customHeight="true" outlineLevel="0" collapsed="false">
      <c r="B18" s="11" t="s">
        <v>22</v>
      </c>
      <c r="C18" s="12" t="s">
        <v>23</v>
      </c>
      <c r="D18" s="12"/>
    </row>
    <row r="19" customFormat="false" ht="24" hidden="false" customHeight="true" outlineLevel="0" collapsed="false">
      <c r="B19" s="13" t="s">
        <v>24</v>
      </c>
      <c r="C19" s="14" t="s">
        <v>25</v>
      </c>
      <c r="D19" s="14"/>
    </row>
    <row r="21" customFormat="false" ht="15.75" hidden="false" customHeight="true" outlineLevel="0" collapsed="false"/>
    <row r="22" customFormat="false" ht="21.75" hidden="false" customHeight="true" outlineLevel="0" collapsed="false">
      <c r="B22" s="15" t="s">
        <v>26</v>
      </c>
      <c r="C22" s="15"/>
      <c r="D22" s="15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:D1"/>
    <mergeCell ref="B2:D2"/>
    <mergeCell ref="B4:D4"/>
    <mergeCell ref="C6:D6"/>
    <mergeCell ref="C7:D7"/>
    <mergeCell ref="C8:D8"/>
    <mergeCell ref="C9:D9"/>
    <mergeCell ref="C10:D10"/>
    <mergeCell ref="C11:D11"/>
    <mergeCell ref="C12:D12"/>
    <mergeCell ref="C16:D16"/>
    <mergeCell ref="C17:D17"/>
    <mergeCell ref="C18:D18"/>
    <mergeCell ref="C19:D19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D24"/>
    <pageSetUpPr fitToPage="false"/>
  </sheetPr>
  <dimension ref="A1:A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9" min="7" style="0" width="18"/>
    <col collapsed="false" customWidth="true" hidden="false" outlineLevel="0" max="12" min="10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2" min="22" style="0" width="14"/>
    <col collapsed="false" customWidth="true" hidden="false" outlineLevel="0" max="23" min="23" style="0" width="36"/>
    <col collapsed="false" customWidth="true" hidden="false" outlineLevel="0" max="24" min="24" style="0" width="18"/>
    <col collapsed="false" customWidth="true" hidden="false" outlineLevel="0" max="26" min="25" style="0" width="16"/>
    <col collapsed="false" customWidth="true" hidden="false" outlineLevel="0" max="27" min="27" style="0" width="18"/>
    <col collapsed="false" customWidth="true" hidden="false" outlineLevel="0" max="28" min="28" style="0" width="16"/>
    <col collapsed="false" customWidth="true" hidden="false" outlineLevel="0" max="29" min="29" style="0" width="18"/>
    <col collapsed="false" customWidth="true" hidden="false" outlineLevel="0" max="30" min="30" style="0" width="20"/>
    <col collapsed="false" customWidth="true" hidden="false" outlineLevel="0" max="32" min="31" style="0" width="14"/>
    <col collapsed="false" customWidth="true" hidden="false" outlineLevel="0" max="34" min="33" style="0" width="18"/>
    <col collapsed="false" customWidth="true" hidden="false" outlineLevel="0" max="35" min="35" style="0" width="14"/>
    <col collapsed="false" customWidth="true" hidden="false" outlineLevel="0" max="36" min="36" style="0" width="16"/>
    <col collapsed="false" customWidth="true" hidden="false" outlineLevel="0" max="38" min="37" style="0" width="18"/>
    <col collapsed="false" customWidth="true" hidden="false" outlineLevel="0" max="39" min="39" style="0" width="40"/>
  </cols>
  <sheetData>
    <row r="1" customFormat="false" ht="30" hidden="false" customHeight="true" outlineLevel="0" collapsed="false">
      <c r="A1" s="4" t="s">
        <v>27</v>
      </c>
      <c r="B1" s="4"/>
      <c r="C1" s="4"/>
      <c r="D1" s="4"/>
      <c r="E1" s="4" t="s">
        <v>28</v>
      </c>
      <c r="F1" s="4"/>
      <c r="G1" s="4"/>
      <c r="H1" s="4" t="s">
        <v>29</v>
      </c>
      <c r="I1" s="4"/>
      <c r="J1" s="4"/>
      <c r="K1" s="4" t="s">
        <v>30</v>
      </c>
      <c r="L1" s="4"/>
      <c r="M1" s="4"/>
      <c r="N1" s="4"/>
      <c r="O1" s="4"/>
      <c r="P1" s="4" t="s">
        <v>31</v>
      </c>
      <c r="Q1" s="4"/>
      <c r="R1" s="4"/>
      <c r="S1" s="4"/>
      <c r="T1" s="4"/>
      <c r="U1" s="4" t="s">
        <v>32</v>
      </c>
      <c r="V1" s="4"/>
      <c r="W1" s="4"/>
      <c r="X1" s="4" t="s">
        <v>33</v>
      </c>
      <c r="Y1" s="4"/>
      <c r="Z1" s="4"/>
      <c r="AA1" s="4"/>
      <c r="AB1" s="4"/>
      <c r="AC1" s="4"/>
      <c r="AD1" s="4" t="s">
        <v>34</v>
      </c>
      <c r="AE1" s="4"/>
      <c r="AF1" s="4"/>
      <c r="AG1" s="4"/>
      <c r="AH1" s="4"/>
      <c r="AI1" s="4" t="s">
        <v>35</v>
      </c>
      <c r="AJ1" s="4"/>
      <c r="AK1" s="4"/>
      <c r="AL1" s="4"/>
      <c r="AM1" s="4"/>
    </row>
    <row r="2" customFormat="false" ht="49.5" hidden="false" customHeight="true" outlineLevel="0" collapsed="false">
      <c r="A2" s="16" t="s">
        <v>36</v>
      </c>
      <c r="B2" s="17" t="s">
        <v>37</v>
      </c>
      <c r="C2" s="17" t="s">
        <v>38</v>
      </c>
      <c r="D2" s="17" t="s">
        <v>39</v>
      </c>
      <c r="E2" s="17" t="s">
        <v>40</v>
      </c>
      <c r="F2" s="18" t="s">
        <v>41</v>
      </c>
      <c r="G2" s="18" t="s">
        <v>42</v>
      </c>
      <c r="H2" s="17" t="s">
        <v>43</v>
      </c>
      <c r="I2" s="17" t="s">
        <v>44</v>
      </c>
      <c r="J2" s="18" t="s">
        <v>45</v>
      </c>
      <c r="K2" s="17" t="s">
        <v>46</v>
      </c>
      <c r="L2" s="17" t="s">
        <v>47</v>
      </c>
      <c r="M2" s="18" t="s">
        <v>48</v>
      </c>
      <c r="N2" s="19" t="s">
        <v>49</v>
      </c>
      <c r="O2" s="19" t="s">
        <v>50</v>
      </c>
      <c r="P2" s="17" t="s">
        <v>51</v>
      </c>
      <c r="Q2" s="18" t="s">
        <v>52</v>
      </c>
      <c r="R2" s="18" t="s">
        <v>53</v>
      </c>
      <c r="S2" s="18" t="s">
        <v>54</v>
      </c>
      <c r="T2" s="18" t="s">
        <v>55</v>
      </c>
      <c r="U2" s="17" t="s">
        <v>56</v>
      </c>
      <c r="V2" s="17" t="s">
        <v>57</v>
      </c>
      <c r="W2" s="17" t="s">
        <v>58</v>
      </c>
      <c r="X2" s="17" t="s">
        <v>59</v>
      </c>
      <c r="Y2" s="18" t="s">
        <v>60</v>
      </c>
      <c r="Z2" s="18" t="s">
        <v>61</v>
      </c>
      <c r="AA2" s="18" t="s">
        <v>62</v>
      </c>
      <c r="AB2" s="18" t="s">
        <v>63</v>
      </c>
      <c r="AC2" s="18" t="s">
        <v>64</v>
      </c>
      <c r="AD2" s="18" t="s">
        <v>65</v>
      </c>
      <c r="AE2" s="18" t="s">
        <v>66</v>
      </c>
      <c r="AF2" s="18" t="s">
        <v>67</v>
      </c>
      <c r="AG2" s="18" t="s">
        <v>68</v>
      </c>
      <c r="AH2" s="18" t="s">
        <v>69</v>
      </c>
      <c r="AI2" s="17" t="s">
        <v>70</v>
      </c>
      <c r="AJ2" s="18" t="s">
        <v>71</v>
      </c>
      <c r="AK2" s="18" t="s">
        <v>72</v>
      </c>
      <c r="AL2" s="18" t="s">
        <v>73</v>
      </c>
      <c r="AM2" s="18" t="s">
        <v>74</v>
      </c>
    </row>
    <row r="3" customFormat="false" ht="36" hidden="false" customHeight="true" outlineLevel="0" collapsed="false">
      <c r="A3" s="20" t="s">
        <v>75</v>
      </c>
      <c r="B3" s="20" t="s">
        <v>76</v>
      </c>
      <c r="C3" s="20" t="s">
        <v>77</v>
      </c>
      <c r="D3" s="20" t="s">
        <v>78</v>
      </c>
      <c r="E3" s="20" t="s">
        <v>79</v>
      </c>
      <c r="F3" s="20" t="s">
        <v>80</v>
      </c>
      <c r="G3" s="20" t="s">
        <v>81</v>
      </c>
      <c r="H3" s="20" t="s">
        <v>82</v>
      </c>
      <c r="I3" s="20" t="s">
        <v>83</v>
      </c>
      <c r="J3" s="20" t="s">
        <v>84</v>
      </c>
      <c r="K3" s="20" t="s">
        <v>85</v>
      </c>
      <c r="L3" s="20" t="s">
        <v>86</v>
      </c>
      <c r="M3" s="20" t="s">
        <v>87</v>
      </c>
      <c r="N3" s="20" t="s">
        <v>88</v>
      </c>
      <c r="O3" s="20" t="s">
        <v>89</v>
      </c>
      <c r="P3" s="20" t="s">
        <v>90</v>
      </c>
      <c r="Q3" s="20" t="s">
        <v>91</v>
      </c>
      <c r="R3" s="20" t="s">
        <v>92</v>
      </c>
      <c r="S3" s="20" t="s">
        <v>93</v>
      </c>
      <c r="T3" s="20" t="s">
        <v>94</v>
      </c>
      <c r="U3" s="20" t="s">
        <v>95</v>
      </c>
      <c r="V3" s="20" t="s">
        <v>96</v>
      </c>
      <c r="W3" s="20" t="s">
        <v>97</v>
      </c>
      <c r="X3" s="20" t="s">
        <v>98</v>
      </c>
      <c r="Y3" s="20" t="s">
        <v>99</v>
      </c>
      <c r="Z3" s="20" t="s">
        <v>100</v>
      </c>
      <c r="AA3" s="20" t="s">
        <v>101</v>
      </c>
      <c r="AB3" s="20" t="s">
        <v>102</v>
      </c>
      <c r="AC3" s="20" t="s">
        <v>103</v>
      </c>
      <c r="AD3" s="20" t="s">
        <v>104</v>
      </c>
      <c r="AE3" s="20" t="s">
        <v>105</v>
      </c>
      <c r="AF3" s="20" t="s">
        <v>106</v>
      </c>
      <c r="AG3" s="20" t="s">
        <v>107</v>
      </c>
      <c r="AH3" s="20" t="s">
        <v>108</v>
      </c>
      <c r="AI3" s="20" t="s">
        <v>109</v>
      </c>
      <c r="AJ3" s="20" t="s">
        <v>110</v>
      </c>
      <c r="AK3" s="20" t="s">
        <v>111</v>
      </c>
      <c r="AL3" s="20" t="s">
        <v>112</v>
      </c>
      <c r="AM3" s="20" t="s">
        <v>113</v>
      </c>
    </row>
    <row r="4" customFormat="false" ht="21.75" hidden="false" customHeight="true" outlineLevel="0" collapsed="false">
      <c r="A4" s="21" t="n">
        <v>1</v>
      </c>
      <c r="B4" s="22" t="s">
        <v>114</v>
      </c>
      <c r="C4" s="8" t="s">
        <v>115</v>
      </c>
      <c r="D4" s="8" t="s">
        <v>116</v>
      </c>
      <c r="E4" s="8" t="s">
        <v>117</v>
      </c>
      <c r="F4" s="10" t="s">
        <v>118</v>
      </c>
      <c r="G4" s="10" t="s">
        <v>119</v>
      </c>
      <c r="H4" s="8" t="s">
        <v>120</v>
      </c>
      <c r="I4" s="8" t="s">
        <v>121</v>
      </c>
      <c r="J4" s="10" t="s">
        <v>122</v>
      </c>
      <c r="K4" s="23"/>
      <c r="L4" s="23"/>
      <c r="M4" s="10"/>
      <c r="N4" s="24" t="str">
        <f aca="false">IF(AND(L4&lt;&gt;"",K4&lt;&gt;""),L4-K4,"")</f>
        <v/>
      </c>
      <c r="O4" s="24" t="str">
        <f aca="false">IF(AND(N4&lt;&gt;"",M4&lt;&gt;""),N4-M4,"")</f>
        <v/>
      </c>
      <c r="P4" s="25" t="n">
        <v>8.59</v>
      </c>
      <c r="Q4" s="26"/>
      <c r="R4" s="10" t="s">
        <v>123</v>
      </c>
      <c r="S4" s="26"/>
      <c r="T4" s="26"/>
      <c r="U4" s="8"/>
      <c r="V4" s="8" t="s">
        <v>124</v>
      </c>
      <c r="W4" s="8" t="s">
        <v>125</v>
      </c>
      <c r="X4" s="27" t="n">
        <v>120</v>
      </c>
      <c r="Y4" s="28"/>
      <c r="Z4" s="28"/>
      <c r="AA4" s="28"/>
      <c r="AB4" s="28"/>
      <c r="AC4" s="28"/>
      <c r="AD4" s="10"/>
      <c r="AE4" s="10"/>
      <c r="AF4" s="10"/>
      <c r="AG4" s="10"/>
      <c r="AH4" s="28"/>
      <c r="AI4" s="8" t="s">
        <v>126</v>
      </c>
      <c r="AJ4" s="10"/>
      <c r="AK4" s="10"/>
      <c r="AL4" s="10"/>
      <c r="AM4" s="10"/>
    </row>
    <row r="5" customFormat="false" ht="21.75" hidden="false" customHeight="true" outlineLevel="0" collapsed="false">
      <c r="A5" s="21" t="n">
        <v>2</v>
      </c>
      <c r="B5" s="22" t="s">
        <v>127</v>
      </c>
      <c r="C5" s="8" t="s">
        <v>115</v>
      </c>
      <c r="D5" s="8" t="s">
        <v>116</v>
      </c>
      <c r="E5" s="8" t="s">
        <v>128</v>
      </c>
      <c r="F5" s="29" t="s">
        <v>118</v>
      </c>
      <c r="G5" s="29" t="s">
        <v>129</v>
      </c>
      <c r="H5" s="8" t="s">
        <v>120</v>
      </c>
      <c r="I5" s="8" t="s">
        <v>121</v>
      </c>
      <c r="J5" s="29" t="s">
        <v>122</v>
      </c>
      <c r="K5" s="23"/>
      <c r="L5" s="23"/>
      <c r="M5" s="29"/>
      <c r="N5" s="24" t="str">
        <f aca="false">IF(AND(L5&lt;&gt;"",K5&lt;&gt;""),L5-K5,"")</f>
        <v/>
      </c>
      <c r="O5" s="24" t="str">
        <f aca="false">IF(AND(N5&lt;&gt;"",M5&lt;&gt;""),N5-M5,"")</f>
        <v/>
      </c>
      <c r="P5" s="25" t="n">
        <v>12.45</v>
      </c>
      <c r="Q5" s="30"/>
      <c r="R5" s="29" t="s">
        <v>123</v>
      </c>
      <c r="S5" s="30"/>
      <c r="T5" s="30"/>
      <c r="U5" s="8"/>
      <c r="V5" s="8" t="s">
        <v>124</v>
      </c>
      <c r="W5" s="8" t="s">
        <v>130</v>
      </c>
      <c r="X5" s="27" t="n">
        <v>150</v>
      </c>
      <c r="Y5" s="31"/>
      <c r="Z5" s="31"/>
      <c r="AA5" s="31"/>
      <c r="AB5" s="31"/>
      <c r="AC5" s="31"/>
      <c r="AD5" s="29"/>
      <c r="AE5" s="29"/>
      <c r="AF5" s="29"/>
      <c r="AG5" s="29"/>
      <c r="AH5" s="31"/>
      <c r="AI5" s="8" t="s">
        <v>126</v>
      </c>
      <c r="AJ5" s="29"/>
      <c r="AK5" s="29"/>
      <c r="AL5" s="29"/>
      <c r="AM5" s="29"/>
    </row>
    <row r="6" customFormat="false" ht="21.75" hidden="false" customHeight="true" outlineLevel="0" collapsed="false">
      <c r="A6" s="21" t="n">
        <v>3</v>
      </c>
      <c r="B6" s="22" t="s">
        <v>131</v>
      </c>
      <c r="C6" s="8" t="s">
        <v>132</v>
      </c>
      <c r="D6" s="8" t="s">
        <v>116</v>
      </c>
      <c r="E6" s="8" t="s">
        <v>128</v>
      </c>
      <c r="F6" s="10" t="s">
        <v>133</v>
      </c>
      <c r="G6" s="10" t="s">
        <v>129</v>
      </c>
      <c r="H6" s="8" t="s">
        <v>134</v>
      </c>
      <c r="I6" s="8" t="s">
        <v>135</v>
      </c>
      <c r="J6" s="10" t="s">
        <v>122</v>
      </c>
      <c r="K6" s="23"/>
      <c r="L6" s="23"/>
      <c r="M6" s="10"/>
      <c r="N6" s="24" t="str">
        <f aca="false">IF(AND(L6&lt;&gt;"",K6&lt;&gt;""),L6-K6,"")</f>
        <v/>
      </c>
      <c r="O6" s="24" t="str">
        <f aca="false">IF(AND(N6&lt;&gt;"",M6&lt;&gt;""),N6-M6,"")</f>
        <v/>
      </c>
      <c r="P6" s="25" t="n">
        <v>14.96</v>
      </c>
      <c r="Q6" s="26"/>
      <c r="R6" s="10" t="s">
        <v>123</v>
      </c>
      <c r="S6" s="26"/>
      <c r="T6" s="26"/>
      <c r="U6" s="8"/>
      <c r="V6" s="8" t="s">
        <v>124</v>
      </c>
      <c r="W6" s="8" t="s">
        <v>136</v>
      </c>
      <c r="X6" s="27" t="n">
        <v>200</v>
      </c>
      <c r="Y6" s="28"/>
      <c r="Z6" s="28"/>
      <c r="AA6" s="28"/>
      <c r="AB6" s="28"/>
      <c r="AC6" s="28"/>
      <c r="AD6" s="10"/>
      <c r="AE6" s="10"/>
      <c r="AF6" s="10"/>
      <c r="AG6" s="10"/>
      <c r="AH6" s="28"/>
      <c r="AI6" s="8" t="s">
        <v>126</v>
      </c>
      <c r="AJ6" s="10"/>
      <c r="AK6" s="10"/>
      <c r="AL6" s="10"/>
      <c r="AM6" s="10"/>
    </row>
    <row r="7" customFormat="false" ht="21.75" hidden="false" customHeight="true" outlineLevel="0" collapsed="false">
      <c r="A7" s="21" t="n">
        <v>4</v>
      </c>
      <c r="B7" s="22" t="s">
        <v>137</v>
      </c>
      <c r="C7" s="8" t="s">
        <v>132</v>
      </c>
      <c r="D7" s="8" t="s">
        <v>116</v>
      </c>
      <c r="E7" s="8" t="s">
        <v>138</v>
      </c>
      <c r="F7" s="29" t="s">
        <v>139</v>
      </c>
      <c r="G7" s="29" t="s">
        <v>129</v>
      </c>
      <c r="H7" s="8" t="s">
        <v>134</v>
      </c>
      <c r="I7" s="8" t="s">
        <v>135</v>
      </c>
      <c r="J7" s="29" t="s">
        <v>122</v>
      </c>
      <c r="K7" s="23"/>
      <c r="L7" s="23"/>
      <c r="M7" s="29"/>
      <c r="N7" s="24" t="str">
        <f aca="false">IF(AND(L7&lt;&gt;"",K7&lt;&gt;""),L7-K7,"")</f>
        <v/>
      </c>
      <c r="O7" s="24" t="str">
        <f aca="false">IF(AND(N7&lt;&gt;"",M7&lt;&gt;""),N7-M7,"")</f>
        <v/>
      </c>
      <c r="P7" s="25" t="n">
        <v>24.06</v>
      </c>
      <c r="Q7" s="30"/>
      <c r="R7" s="29" t="s">
        <v>123</v>
      </c>
      <c r="S7" s="30"/>
      <c r="T7" s="30"/>
      <c r="U7" s="8"/>
      <c r="V7" s="8" t="s">
        <v>124</v>
      </c>
      <c r="W7" s="8" t="s">
        <v>140</v>
      </c>
      <c r="X7" s="27" t="n">
        <v>280</v>
      </c>
      <c r="Y7" s="31"/>
      <c r="Z7" s="31"/>
      <c r="AA7" s="31"/>
      <c r="AB7" s="31"/>
      <c r="AC7" s="31"/>
      <c r="AD7" s="29"/>
      <c r="AE7" s="29"/>
      <c r="AF7" s="29"/>
      <c r="AG7" s="29"/>
      <c r="AH7" s="31"/>
      <c r="AI7" s="8" t="s">
        <v>126</v>
      </c>
      <c r="AJ7" s="29"/>
      <c r="AK7" s="29"/>
      <c r="AL7" s="29"/>
      <c r="AM7" s="29"/>
    </row>
    <row r="8" customFormat="false" ht="21.75" hidden="false" customHeight="true" outlineLevel="0" collapsed="false">
      <c r="A8" s="21" t="n">
        <v>5</v>
      </c>
      <c r="B8" s="22" t="s">
        <v>141</v>
      </c>
      <c r="C8" s="8" t="s">
        <v>142</v>
      </c>
      <c r="D8" s="8" t="s">
        <v>116</v>
      </c>
      <c r="E8" s="8" t="s">
        <v>143</v>
      </c>
      <c r="F8" s="10" t="s">
        <v>144</v>
      </c>
      <c r="G8" s="10" t="s">
        <v>119</v>
      </c>
      <c r="H8" s="8" t="s">
        <v>145</v>
      </c>
      <c r="I8" s="8" t="s">
        <v>135</v>
      </c>
      <c r="J8" s="10" t="s">
        <v>122</v>
      </c>
      <c r="K8" s="23"/>
      <c r="L8" s="23"/>
      <c r="M8" s="10"/>
      <c r="N8" s="24" t="str">
        <f aca="false">IF(AND(L8&lt;&gt;"",K8&lt;&gt;""),L8-K8,"")</f>
        <v/>
      </c>
      <c r="O8" s="24" t="str">
        <f aca="false">IF(AND(N8&lt;&gt;"",M8&lt;&gt;""),N8-M8,"")</f>
        <v/>
      </c>
      <c r="P8" s="25" t="n">
        <v>2.72</v>
      </c>
      <c r="Q8" s="26"/>
      <c r="R8" s="10" t="s">
        <v>123</v>
      </c>
      <c r="S8" s="26"/>
      <c r="T8" s="26"/>
      <c r="U8" s="8"/>
      <c r="V8" s="8" t="s">
        <v>124</v>
      </c>
      <c r="W8" s="8" t="s">
        <v>146</v>
      </c>
      <c r="X8" s="27" t="n">
        <v>80</v>
      </c>
      <c r="Y8" s="28"/>
      <c r="Z8" s="28"/>
      <c r="AA8" s="28"/>
      <c r="AB8" s="28"/>
      <c r="AC8" s="28"/>
      <c r="AD8" s="10"/>
      <c r="AE8" s="10"/>
      <c r="AF8" s="10"/>
      <c r="AG8" s="10"/>
      <c r="AH8" s="28"/>
      <c r="AI8" s="8" t="s">
        <v>126</v>
      </c>
      <c r="AJ8" s="10"/>
      <c r="AK8" s="10"/>
      <c r="AL8" s="10"/>
      <c r="AM8" s="10"/>
    </row>
    <row r="9" customFormat="false" ht="21.75" hidden="false" customHeight="true" outlineLevel="0" collapsed="false">
      <c r="A9" s="21" t="n">
        <v>6</v>
      </c>
      <c r="B9" s="22" t="s">
        <v>147</v>
      </c>
      <c r="C9" s="8" t="s">
        <v>142</v>
      </c>
      <c r="D9" s="8" t="s">
        <v>116</v>
      </c>
      <c r="E9" s="8" t="s">
        <v>143</v>
      </c>
      <c r="F9" s="29" t="s">
        <v>144</v>
      </c>
      <c r="G9" s="29" t="s">
        <v>129</v>
      </c>
      <c r="H9" s="8" t="s">
        <v>145</v>
      </c>
      <c r="I9" s="8" t="s">
        <v>135</v>
      </c>
      <c r="J9" s="29" t="s">
        <v>122</v>
      </c>
      <c r="K9" s="23"/>
      <c r="L9" s="23"/>
      <c r="M9" s="29"/>
      <c r="N9" s="24" t="str">
        <f aca="false">IF(AND(L9&lt;&gt;"",K9&lt;&gt;""),L9-K9,"")</f>
        <v/>
      </c>
      <c r="O9" s="24" t="str">
        <f aca="false">IF(AND(N9&lt;&gt;"",M9&lt;&gt;""),N9-M9,"")</f>
        <v/>
      </c>
      <c r="P9" s="25" t="n">
        <v>12.69</v>
      </c>
      <c r="Q9" s="30"/>
      <c r="R9" s="29" t="s">
        <v>123</v>
      </c>
      <c r="S9" s="30"/>
      <c r="T9" s="30"/>
      <c r="U9" s="8"/>
      <c r="V9" s="8" t="s">
        <v>124</v>
      </c>
      <c r="W9" s="8" t="s">
        <v>148</v>
      </c>
      <c r="X9" s="27" t="n">
        <v>180</v>
      </c>
      <c r="Y9" s="31"/>
      <c r="Z9" s="31"/>
      <c r="AA9" s="31"/>
      <c r="AB9" s="31"/>
      <c r="AC9" s="31"/>
      <c r="AD9" s="29"/>
      <c r="AE9" s="29"/>
      <c r="AF9" s="29"/>
      <c r="AG9" s="29"/>
      <c r="AH9" s="31"/>
      <c r="AI9" s="8" t="s">
        <v>126</v>
      </c>
      <c r="AJ9" s="29"/>
      <c r="AK9" s="29"/>
      <c r="AL9" s="29"/>
      <c r="AM9" s="29"/>
    </row>
    <row r="10" customFormat="false" ht="21.75" hidden="false" customHeight="true" outlineLevel="0" collapsed="false">
      <c r="A10" s="21" t="n">
        <v>7</v>
      </c>
      <c r="B10" s="22" t="s">
        <v>149</v>
      </c>
      <c r="C10" s="8" t="s">
        <v>142</v>
      </c>
      <c r="D10" s="8" t="s">
        <v>116</v>
      </c>
      <c r="E10" s="8" t="s">
        <v>128</v>
      </c>
      <c r="F10" s="10" t="s">
        <v>150</v>
      </c>
      <c r="G10" s="10" t="s">
        <v>129</v>
      </c>
      <c r="H10" s="8" t="s">
        <v>145</v>
      </c>
      <c r="I10" s="8" t="s">
        <v>135</v>
      </c>
      <c r="J10" s="10" t="s">
        <v>122</v>
      </c>
      <c r="K10" s="23"/>
      <c r="L10" s="23"/>
      <c r="M10" s="10"/>
      <c r="N10" s="24" t="str">
        <f aca="false">IF(AND(L10&lt;&gt;"",K10&lt;&gt;""),L10-K10,"")</f>
        <v/>
      </c>
      <c r="O10" s="24" t="str">
        <f aca="false">IF(AND(N10&lt;&gt;"",M10&lt;&gt;""),N10-M10,"")</f>
        <v/>
      </c>
      <c r="P10" s="25" t="n">
        <v>58.92</v>
      </c>
      <c r="Q10" s="26"/>
      <c r="R10" s="10" t="s">
        <v>123</v>
      </c>
      <c r="S10" s="26"/>
      <c r="T10" s="26"/>
      <c r="U10" s="8"/>
      <c r="V10" s="8" t="s">
        <v>124</v>
      </c>
      <c r="W10" s="8" t="s">
        <v>151</v>
      </c>
      <c r="X10" s="27" t="n">
        <v>350</v>
      </c>
      <c r="Y10" s="28"/>
      <c r="Z10" s="28"/>
      <c r="AA10" s="28"/>
      <c r="AB10" s="28"/>
      <c r="AC10" s="28"/>
      <c r="AD10" s="10"/>
      <c r="AE10" s="10"/>
      <c r="AF10" s="10"/>
      <c r="AG10" s="10"/>
      <c r="AH10" s="28"/>
      <c r="AI10" s="8" t="s">
        <v>126</v>
      </c>
      <c r="AJ10" s="10"/>
      <c r="AK10" s="10"/>
      <c r="AL10" s="10"/>
      <c r="AM10" s="10"/>
    </row>
    <row r="11" customFormat="false" ht="21.75" hidden="false" customHeight="true" outlineLevel="0" collapsed="false">
      <c r="A11" s="21" t="n">
        <v>8</v>
      </c>
      <c r="B11" s="22" t="s">
        <v>152</v>
      </c>
      <c r="C11" s="8" t="s">
        <v>153</v>
      </c>
      <c r="D11" s="8" t="s">
        <v>116</v>
      </c>
      <c r="E11" s="8" t="s">
        <v>138</v>
      </c>
      <c r="F11" s="29" t="s">
        <v>144</v>
      </c>
      <c r="G11" s="29" t="s">
        <v>129</v>
      </c>
      <c r="H11" s="8" t="s">
        <v>154</v>
      </c>
      <c r="I11" s="8" t="s">
        <v>121</v>
      </c>
      <c r="J11" s="29" t="s">
        <v>122</v>
      </c>
      <c r="K11" s="23"/>
      <c r="L11" s="23"/>
      <c r="M11" s="29"/>
      <c r="N11" s="24" t="str">
        <f aca="false">IF(AND(L11&lt;&gt;"",K11&lt;&gt;""),L11-K11,"")</f>
        <v/>
      </c>
      <c r="O11" s="24" t="str">
        <f aca="false">IF(AND(N11&lt;&gt;"",M11&lt;&gt;""),N11-M11,"")</f>
        <v/>
      </c>
      <c r="P11" s="25" t="n">
        <v>32.58</v>
      </c>
      <c r="Q11" s="30"/>
      <c r="R11" s="29" t="s">
        <v>123</v>
      </c>
      <c r="S11" s="30"/>
      <c r="T11" s="30"/>
      <c r="U11" s="8" t="n">
        <v>600000</v>
      </c>
      <c r="V11" s="8" t="s">
        <v>155</v>
      </c>
      <c r="W11" s="8" t="s">
        <v>156</v>
      </c>
      <c r="X11" s="27" t="n">
        <v>280</v>
      </c>
      <c r="Y11" s="31"/>
      <c r="Z11" s="31"/>
      <c r="AA11" s="31"/>
      <c r="AB11" s="31"/>
      <c r="AC11" s="31"/>
      <c r="AD11" s="29"/>
      <c r="AE11" s="29"/>
      <c r="AF11" s="29"/>
      <c r="AG11" s="29"/>
      <c r="AH11" s="31"/>
      <c r="AI11" s="8" t="s">
        <v>126</v>
      </c>
      <c r="AJ11" s="29"/>
      <c r="AK11" s="29"/>
      <c r="AL11" s="29"/>
      <c r="AM11" s="29"/>
    </row>
    <row r="12" customFormat="false" ht="21.75" hidden="false" customHeight="true" outlineLevel="0" collapsed="false">
      <c r="A12" s="21" t="n">
        <v>9</v>
      </c>
      <c r="B12" s="22" t="s">
        <v>157</v>
      </c>
      <c r="C12" s="8" t="s">
        <v>142</v>
      </c>
      <c r="D12" s="8" t="s">
        <v>116</v>
      </c>
      <c r="E12" s="8" t="s">
        <v>143</v>
      </c>
      <c r="F12" s="10" t="s">
        <v>158</v>
      </c>
      <c r="G12" s="10" t="s">
        <v>129</v>
      </c>
      <c r="H12" s="8" t="s">
        <v>145</v>
      </c>
      <c r="I12" s="8" t="s">
        <v>135</v>
      </c>
      <c r="J12" s="10" t="s">
        <v>122</v>
      </c>
      <c r="K12" s="23"/>
      <c r="L12" s="23"/>
      <c r="M12" s="10"/>
      <c r="N12" s="24" t="str">
        <f aca="false">IF(AND(L12&lt;&gt;"",K12&lt;&gt;""),L12-K12,"")</f>
        <v/>
      </c>
      <c r="O12" s="24" t="str">
        <f aca="false">IF(AND(N12&lt;&gt;"",M12&lt;&gt;""),N12-M12,"")</f>
        <v/>
      </c>
      <c r="P12" s="25" t="n">
        <v>91.56</v>
      </c>
      <c r="Q12" s="26"/>
      <c r="R12" s="10" t="s">
        <v>123</v>
      </c>
      <c r="S12" s="26"/>
      <c r="T12" s="26"/>
      <c r="U12" s="8" t="n">
        <v>34000</v>
      </c>
      <c r="V12" s="8" t="s">
        <v>124</v>
      </c>
      <c r="W12" s="8" t="s">
        <v>159</v>
      </c>
      <c r="X12" s="27" t="n">
        <v>450</v>
      </c>
      <c r="Y12" s="28"/>
      <c r="Z12" s="28"/>
      <c r="AA12" s="28"/>
      <c r="AB12" s="28"/>
      <c r="AC12" s="28"/>
      <c r="AD12" s="10"/>
      <c r="AE12" s="10"/>
      <c r="AF12" s="10"/>
      <c r="AG12" s="10"/>
      <c r="AH12" s="28"/>
      <c r="AI12" s="8" t="s">
        <v>126</v>
      </c>
      <c r="AJ12" s="10"/>
      <c r="AK12" s="10"/>
      <c r="AL12" s="10"/>
      <c r="AM12" s="10"/>
    </row>
    <row r="13" customFormat="false" ht="21.75" hidden="false" customHeight="true" outlineLevel="0" collapsed="false">
      <c r="A13" s="21" t="n">
        <v>10</v>
      </c>
      <c r="B13" s="22" t="s">
        <v>160</v>
      </c>
      <c r="C13" s="8" t="s">
        <v>161</v>
      </c>
      <c r="D13" s="8" t="s">
        <v>116</v>
      </c>
      <c r="E13" s="8" t="s">
        <v>143</v>
      </c>
      <c r="F13" s="29" t="s">
        <v>162</v>
      </c>
      <c r="G13" s="29" t="s">
        <v>119</v>
      </c>
      <c r="H13" s="8" t="s">
        <v>145</v>
      </c>
      <c r="I13" s="8" t="s">
        <v>135</v>
      </c>
      <c r="J13" s="29" t="s">
        <v>122</v>
      </c>
      <c r="K13" s="23"/>
      <c r="L13" s="23"/>
      <c r="M13" s="29"/>
      <c r="N13" s="24" t="str">
        <f aca="false">IF(AND(L13&lt;&gt;"",K13&lt;&gt;""),L13-K13,"")</f>
        <v/>
      </c>
      <c r="O13" s="24" t="str">
        <f aca="false">IF(AND(N13&lt;&gt;"",M13&lt;&gt;""),N13-M13,"")</f>
        <v/>
      </c>
      <c r="P13" s="25" t="n">
        <v>3.54</v>
      </c>
      <c r="Q13" s="30"/>
      <c r="R13" s="29" t="s">
        <v>123</v>
      </c>
      <c r="S13" s="30"/>
      <c r="T13" s="30"/>
      <c r="U13" s="8" t="n">
        <v>9400</v>
      </c>
      <c r="V13" s="8" t="s">
        <v>124</v>
      </c>
      <c r="W13" s="8" t="s">
        <v>163</v>
      </c>
      <c r="X13" s="27" t="n">
        <v>120</v>
      </c>
      <c r="Y13" s="31"/>
      <c r="Z13" s="31"/>
      <c r="AA13" s="31"/>
      <c r="AB13" s="31"/>
      <c r="AC13" s="31"/>
      <c r="AD13" s="29"/>
      <c r="AE13" s="29"/>
      <c r="AF13" s="29"/>
      <c r="AG13" s="29"/>
      <c r="AH13" s="31"/>
      <c r="AI13" s="8" t="s">
        <v>126</v>
      </c>
      <c r="AJ13" s="29"/>
      <c r="AK13" s="29"/>
      <c r="AL13" s="29"/>
      <c r="AM13" s="29"/>
    </row>
    <row r="14" customFormat="false" ht="21.75" hidden="false" customHeight="true" outlineLevel="0" collapsed="false">
      <c r="A14" s="21" t="n">
        <v>11</v>
      </c>
      <c r="B14" s="22" t="s">
        <v>164</v>
      </c>
      <c r="C14" s="8" t="s">
        <v>165</v>
      </c>
      <c r="D14" s="8" t="s">
        <v>116</v>
      </c>
      <c r="E14" s="8" t="s">
        <v>143</v>
      </c>
      <c r="F14" s="10" t="s">
        <v>166</v>
      </c>
      <c r="G14" s="10" t="s">
        <v>119</v>
      </c>
      <c r="H14" s="8" t="s">
        <v>145</v>
      </c>
      <c r="I14" s="8" t="s">
        <v>135</v>
      </c>
      <c r="J14" s="10" t="s">
        <v>122</v>
      </c>
      <c r="K14" s="23"/>
      <c r="L14" s="23"/>
      <c r="M14" s="10"/>
      <c r="N14" s="24" t="str">
        <f aca="false">IF(AND(L14&lt;&gt;"",K14&lt;&gt;""),L14-K14,"")</f>
        <v/>
      </c>
      <c r="O14" s="24" t="str">
        <f aca="false">IF(AND(N14&lt;&gt;"",M14&lt;&gt;""),N14-M14,"")</f>
        <v/>
      </c>
      <c r="P14" s="25" t="n">
        <v>20.96</v>
      </c>
      <c r="Q14" s="26"/>
      <c r="R14" s="10" t="s">
        <v>123</v>
      </c>
      <c r="S14" s="26"/>
      <c r="T14" s="26"/>
      <c r="U14" s="8" t="n">
        <v>18400</v>
      </c>
      <c r="V14" s="8" t="s">
        <v>124</v>
      </c>
      <c r="W14" s="8" t="s">
        <v>167</v>
      </c>
      <c r="X14" s="27" t="n">
        <v>200</v>
      </c>
      <c r="Y14" s="28"/>
      <c r="Z14" s="28"/>
      <c r="AA14" s="28"/>
      <c r="AB14" s="28"/>
      <c r="AC14" s="28"/>
      <c r="AD14" s="10"/>
      <c r="AE14" s="10"/>
      <c r="AF14" s="10"/>
      <c r="AG14" s="10"/>
      <c r="AH14" s="28"/>
      <c r="AI14" s="8" t="s">
        <v>126</v>
      </c>
      <c r="AJ14" s="10"/>
      <c r="AK14" s="10"/>
      <c r="AL14" s="10"/>
      <c r="AM14" s="10"/>
    </row>
    <row r="15" customFormat="false" ht="21.75" hidden="false" customHeight="true" outlineLevel="0" collapsed="false">
      <c r="A15" s="21" t="n">
        <v>12</v>
      </c>
      <c r="B15" s="22" t="s">
        <v>168</v>
      </c>
      <c r="C15" s="8" t="s">
        <v>169</v>
      </c>
      <c r="D15" s="8" t="s">
        <v>170</v>
      </c>
      <c r="E15" s="8" t="s">
        <v>117</v>
      </c>
      <c r="F15" s="29" t="s">
        <v>144</v>
      </c>
      <c r="G15" s="29" t="s">
        <v>119</v>
      </c>
      <c r="H15" s="8" t="s">
        <v>171</v>
      </c>
      <c r="I15" s="8" t="s">
        <v>172</v>
      </c>
      <c r="J15" s="29" t="s">
        <v>122</v>
      </c>
      <c r="K15" s="23"/>
      <c r="L15" s="23"/>
      <c r="M15" s="29"/>
      <c r="N15" s="24" t="str">
        <f aca="false">IF(AND(L15&lt;&gt;"",K15&lt;&gt;""),L15-K15,"")</f>
        <v/>
      </c>
      <c r="O15" s="24" t="str">
        <f aca="false">IF(AND(N15&lt;&gt;"",M15&lt;&gt;""),N15-M15,"")</f>
        <v/>
      </c>
      <c r="P15" s="25" t="n">
        <v>1.85</v>
      </c>
      <c r="Q15" s="30"/>
      <c r="R15" s="29" t="s">
        <v>123</v>
      </c>
      <c r="S15" s="30"/>
      <c r="T15" s="30"/>
      <c r="U15" s="8" t="n">
        <v>2366</v>
      </c>
      <c r="V15" s="8" t="s">
        <v>124</v>
      </c>
      <c r="W15" s="8" t="s">
        <v>173</v>
      </c>
      <c r="X15" s="27" t="n">
        <v>90</v>
      </c>
      <c r="Y15" s="31"/>
      <c r="Z15" s="31"/>
      <c r="AA15" s="31"/>
      <c r="AB15" s="31"/>
      <c r="AC15" s="31"/>
      <c r="AD15" s="29"/>
      <c r="AE15" s="29"/>
      <c r="AF15" s="29"/>
      <c r="AG15" s="29"/>
      <c r="AH15" s="31"/>
      <c r="AI15" s="8" t="s">
        <v>126</v>
      </c>
      <c r="AJ15" s="29"/>
      <c r="AK15" s="29"/>
      <c r="AL15" s="29"/>
      <c r="AM15" s="29"/>
    </row>
    <row r="16" customFormat="false" ht="21.75" hidden="false" customHeight="true" outlineLevel="0" collapsed="false">
      <c r="A16" s="21" t="n">
        <v>13</v>
      </c>
      <c r="B16" s="22" t="s">
        <v>174</v>
      </c>
      <c r="C16" s="8" t="s">
        <v>175</v>
      </c>
      <c r="D16" s="8" t="s">
        <v>116</v>
      </c>
      <c r="E16" s="8" t="s">
        <v>117</v>
      </c>
      <c r="F16" s="10" t="s">
        <v>118</v>
      </c>
      <c r="G16" s="10" t="s">
        <v>129</v>
      </c>
      <c r="H16" s="8" t="s">
        <v>176</v>
      </c>
      <c r="I16" s="8" t="s">
        <v>172</v>
      </c>
      <c r="J16" s="10" t="s">
        <v>122</v>
      </c>
      <c r="K16" s="23"/>
      <c r="L16" s="23"/>
      <c r="M16" s="10"/>
      <c r="N16" s="24" t="str">
        <f aca="false">IF(AND(L16&lt;&gt;"",K16&lt;&gt;""),L16-K16,"")</f>
        <v/>
      </c>
      <c r="O16" s="24" t="str">
        <f aca="false">IF(AND(N16&lt;&gt;"",M16&lt;&gt;""),N16-M16,"")</f>
        <v/>
      </c>
      <c r="P16" s="25" t="n">
        <v>10.94</v>
      </c>
      <c r="Q16" s="26"/>
      <c r="R16" s="10" t="s">
        <v>123</v>
      </c>
      <c r="S16" s="26"/>
      <c r="T16" s="26"/>
      <c r="U16" s="8" t="n">
        <v>22100</v>
      </c>
      <c r="V16" s="8" t="s">
        <v>124</v>
      </c>
      <c r="W16" s="8" t="s">
        <v>177</v>
      </c>
      <c r="X16" s="27" t="n">
        <v>250</v>
      </c>
      <c r="Y16" s="28"/>
      <c r="Z16" s="28"/>
      <c r="AA16" s="28"/>
      <c r="AB16" s="28"/>
      <c r="AC16" s="28"/>
      <c r="AD16" s="10"/>
      <c r="AE16" s="10"/>
      <c r="AF16" s="10"/>
      <c r="AG16" s="10"/>
      <c r="AH16" s="28"/>
      <c r="AI16" s="8" t="s">
        <v>126</v>
      </c>
      <c r="AJ16" s="10"/>
      <c r="AK16" s="10"/>
      <c r="AL16" s="10"/>
      <c r="AM16" s="10"/>
    </row>
    <row r="17" customFormat="false" ht="21.75" hidden="false" customHeight="true" outlineLevel="0" collapsed="false">
      <c r="A17" s="21" t="n">
        <v>14</v>
      </c>
      <c r="B17" s="22" t="s">
        <v>178</v>
      </c>
      <c r="C17" s="8" t="s">
        <v>175</v>
      </c>
      <c r="D17" s="8" t="s">
        <v>116</v>
      </c>
      <c r="E17" s="8" t="s">
        <v>128</v>
      </c>
      <c r="F17" s="29" t="s">
        <v>179</v>
      </c>
      <c r="G17" s="29" t="s">
        <v>129</v>
      </c>
      <c r="H17" s="8" t="s">
        <v>176</v>
      </c>
      <c r="I17" s="8" t="s">
        <v>172</v>
      </c>
      <c r="J17" s="29" t="s">
        <v>122</v>
      </c>
      <c r="K17" s="23"/>
      <c r="L17" s="23"/>
      <c r="M17" s="29"/>
      <c r="N17" s="24" t="str">
        <f aca="false">IF(AND(L17&lt;&gt;"",K17&lt;&gt;""),L17-K17,"")</f>
        <v/>
      </c>
      <c r="O17" s="24" t="str">
        <f aca="false">IF(AND(N17&lt;&gt;"",M17&lt;&gt;""),N17-M17,"")</f>
        <v/>
      </c>
      <c r="P17" s="25" t="n">
        <v>30.68</v>
      </c>
      <c r="Q17" s="30"/>
      <c r="R17" s="29" t="s">
        <v>123</v>
      </c>
      <c r="S17" s="30"/>
      <c r="T17" s="30"/>
      <c r="U17" s="8" t="n">
        <v>12000</v>
      </c>
      <c r="V17" s="8" t="s">
        <v>124</v>
      </c>
      <c r="W17" s="8" t="s">
        <v>180</v>
      </c>
      <c r="X17" s="27" t="n">
        <v>320</v>
      </c>
      <c r="Y17" s="31"/>
      <c r="Z17" s="31"/>
      <c r="AA17" s="31"/>
      <c r="AB17" s="31"/>
      <c r="AC17" s="31"/>
      <c r="AD17" s="29"/>
      <c r="AE17" s="29"/>
      <c r="AF17" s="29"/>
      <c r="AG17" s="29"/>
      <c r="AH17" s="31"/>
      <c r="AI17" s="8" t="s">
        <v>126</v>
      </c>
      <c r="AJ17" s="29"/>
      <c r="AK17" s="29"/>
      <c r="AL17" s="29"/>
      <c r="AM17" s="29"/>
    </row>
    <row r="18" customFormat="false" ht="21.75" hidden="false" customHeight="true" outlineLevel="0" collapsed="false">
      <c r="A18" s="21" t="n">
        <v>15</v>
      </c>
      <c r="B18" s="22"/>
      <c r="C18" s="8"/>
      <c r="D18" s="8"/>
      <c r="E18" s="8"/>
      <c r="F18" s="10"/>
      <c r="G18" s="10"/>
      <c r="H18" s="8"/>
      <c r="I18" s="8"/>
      <c r="J18" s="10"/>
      <c r="K18" s="23"/>
      <c r="L18" s="23"/>
      <c r="M18" s="10"/>
      <c r="N18" s="24" t="str">
        <f aca="false">IF(AND(L18&lt;&gt;"",K18&lt;&gt;""),L18-K18,"")</f>
        <v/>
      </c>
      <c r="O18" s="24" t="str">
        <f aca="false">IF(AND(N18&lt;&gt;"",M18&lt;&gt;""),N18-M18,"")</f>
        <v/>
      </c>
      <c r="P18" s="25"/>
      <c r="Q18" s="26"/>
      <c r="R18" s="10"/>
      <c r="S18" s="26"/>
      <c r="T18" s="26"/>
      <c r="U18" s="8"/>
      <c r="V18" s="8"/>
      <c r="W18" s="8"/>
      <c r="X18" s="27"/>
      <c r="Y18" s="28"/>
      <c r="Z18" s="28"/>
      <c r="AA18" s="28"/>
      <c r="AB18" s="28"/>
      <c r="AC18" s="28"/>
      <c r="AD18" s="10"/>
      <c r="AE18" s="10"/>
      <c r="AF18" s="10"/>
      <c r="AG18" s="10"/>
      <c r="AH18" s="28"/>
      <c r="AI18" s="8"/>
      <c r="AJ18" s="10"/>
      <c r="AK18" s="10"/>
      <c r="AL18" s="10"/>
      <c r="AM18" s="10"/>
    </row>
    <row r="19" customFormat="false" ht="21.75" hidden="false" customHeight="true" outlineLevel="0" collapsed="false">
      <c r="A19" s="21" t="n">
        <v>16</v>
      </c>
      <c r="B19" s="22"/>
      <c r="C19" s="8"/>
      <c r="D19" s="8"/>
      <c r="E19" s="8"/>
      <c r="F19" s="29"/>
      <c r="G19" s="29"/>
      <c r="H19" s="8"/>
      <c r="I19" s="8"/>
      <c r="J19" s="29"/>
      <c r="K19" s="23"/>
      <c r="L19" s="23"/>
      <c r="M19" s="29"/>
      <c r="N19" s="24" t="str">
        <f aca="false">IF(AND(L19&lt;&gt;"",K19&lt;&gt;""),L19-K19,"")</f>
        <v/>
      </c>
      <c r="O19" s="24" t="str">
        <f aca="false">IF(AND(N19&lt;&gt;"",M19&lt;&gt;""),N19-M19,"")</f>
        <v/>
      </c>
      <c r="P19" s="25"/>
      <c r="Q19" s="30"/>
      <c r="R19" s="29"/>
      <c r="S19" s="30"/>
      <c r="T19" s="30"/>
      <c r="U19" s="8"/>
      <c r="V19" s="8"/>
      <c r="W19" s="8"/>
      <c r="X19" s="27"/>
      <c r="Y19" s="31"/>
      <c r="Z19" s="31"/>
      <c r="AA19" s="31"/>
      <c r="AB19" s="31"/>
      <c r="AC19" s="31"/>
      <c r="AD19" s="29"/>
      <c r="AE19" s="29"/>
      <c r="AF19" s="29"/>
      <c r="AG19" s="29"/>
      <c r="AH19" s="31"/>
      <c r="AI19" s="8"/>
      <c r="AJ19" s="29"/>
      <c r="AK19" s="29"/>
      <c r="AL19" s="29"/>
      <c r="AM19" s="29"/>
    </row>
    <row r="20" customFormat="false" ht="21.75" hidden="false" customHeight="true" outlineLevel="0" collapsed="false">
      <c r="A20" s="21" t="n">
        <v>17</v>
      </c>
      <c r="B20" s="22"/>
      <c r="C20" s="8"/>
      <c r="D20" s="8"/>
      <c r="E20" s="8"/>
      <c r="F20" s="10"/>
      <c r="G20" s="10"/>
      <c r="H20" s="8"/>
      <c r="I20" s="8"/>
      <c r="J20" s="10"/>
      <c r="K20" s="23"/>
      <c r="L20" s="23"/>
      <c r="M20" s="10"/>
      <c r="N20" s="24" t="str">
        <f aca="false">IF(AND(L20&lt;&gt;"",K20&lt;&gt;""),L20-K20,"")</f>
        <v/>
      </c>
      <c r="O20" s="24" t="str">
        <f aca="false">IF(AND(N20&lt;&gt;"",M20&lt;&gt;""),N20-M20,"")</f>
        <v/>
      </c>
      <c r="P20" s="25"/>
      <c r="Q20" s="26"/>
      <c r="R20" s="10"/>
      <c r="S20" s="26"/>
      <c r="T20" s="26"/>
      <c r="U20" s="8"/>
      <c r="V20" s="8"/>
      <c r="W20" s="8"/>
      <c r="X20" s="27"/>
      <c r="Y20" s="28"/>
      <c r="Z20" s="28"/>
      <c r="AA20" s="28"/>
      <c r="AB20" s="28"/>
      <c r="AC20" s="28"/>
      <c r="AD20" s="10"/>
      <c r="AE20" s="10"/>
      <c r="AF20" s="10"/>
      <c r="AG20" s="10"/>
      <c r="AH20" s="28"/>
      <c r="AI20" s="8"/>
      <c r="AJ20" s="10"/>
      <c r="AK20" s="10"/>
      <c r="AL20" s="10"/>
      <c r="AM20" s="10"/>
    </row>
    <row r="21" customFormat="false" ht="21.75" hidden="false" customHeight="true" outlineLevel="0" collapsed="false">
      <c r="A21" s="21" t="n">
        <v>18</v>
      </c>
      <c r="B21" s="22"/>
      <c r="C21" s="8"/>
      <c r="D21" s="8"/>
      <c r="E21" s="8"/>
      <c r="F21" s="29"/>
      <c r="G21" s="29"/>
      <c r="H21" s="8"/>
      <c r="I21" s="8"/>
      <c r="J21" s="29"/>
      <c r="K21" s="23"/>
      <c r="L21" s="23"/>
      <c r="M21" s="29"/>
      <c r="N21" s="24" t="str">
        <f aca="false">IF(AND(L21&lt;&gt;"",K21&lt;&gt;""),L21-K21,"")</f>
        <v/>
      </c>
      <c r="O21" s="24" t="str">
        <f aca="false">IF(AND(N21&lt;&gt;"",M21&lt;&gt;""),N21-M21,"")</f>
        <v/>
      </c>
      <c r="P21" s="25"/>
      <c r="Q21" s="30"/>
      <c r="R21" s="29"/>
      <c r="S21" s="30"/>
      <c r="T21" s="30"/>
      <c r="U21" s="8"/>
      <c r="V21" s="8"/>
      <c r="W21" s="8"/>
      <c r="X21" s="27"/>
      <c r="Y21" s="31"/>
      <c r="Z21" s="31"/>
      <c r="AA21" s="31"/>
      <c r="AB21" s="31"/>
      <c r="AC21" s="31"/>
      <c r="AD21" s="29"/>
      <c r="AE21" s="29"/>
      <c r="AF21" s="29"/>
      <c r="AG21" s="29"/>
      <c r="AH21" s="31"/>
      <c r="AI21" s="8"/>
      <c r="AJ21" s="29"/>
      <c r="AK21" s="29"/>
      <c r="AL21" s="29"/>
      <c r="AM21" s="29"/>
    </row>
    <row r="22" customFormat="false" ht="21.75" hidden="false" customHeight="true" outlineLevel="0" collapsed="false">
      <c r="A22" s="21" t="n">
        <v>19</v>
      </c>
      <c r="B22" s="22"/>
      <c r="C22" s="8"/>
      <c r="D22" s="8"/>
      <c r="E22" s="8"/>
      <c r="F22" s="10"/>
      <c r="G22" s="10"/>
      <c r="H22" s="8"/>
      <c r="I22" s="8"/>
      <c r="J22" s="10"/>
      <c r="K22" s="23"/>
      <c r="L22" s="23"/>
      <c r="M22" s="10"/>
      <c r="N22" s="24" t="str">
        <f aca="false">IF(AND(L22&lt;&gt;"",K22&lt;&gt;""),L22-K22,"")</f>
        <v/>
      </c>
      <c r="O22" s="24" t="str">
        <f aca="false">IF(AND(N22&lt;&gt;"",M22&lt;&gt;""),N22-M22,"")</f>
        <v/>
      </c>
      <c r="P22" s="25"/>
      <c r="Q22" s="26"/>
      <c r="R22" s="10"/>
      <c r="S22" s="26"/>
      <c r="T22" s="26"/>
      <c r="U22" s="8"/>
      <c r="V22" s="8"/>
      <c r="W22" s="8"/>
      <c r="X22" s="27"/>
      <c r="Y22" s="28"/>
      <c r="Z22" s="28"/>
      <c r="AA22" s="28"/>
      <c r="AB22" s="28"/>
      <c r="AC22" s="28"/>
      <c r="AD22" s="10"/>
      <c r="AE22" s="10"/>
      <c r="AF22" s="10"/>
      <c r="AG22" s="10"/>
      <c r="AH22" s="28"/>
      <c r="AI22" s="8"/>
      <c r="AJ22" s="10"/>
      <c r="AK22" s="10"/>
      <c r="AL22" s="10"/>
      <c r="AM22" s="10"/>
    </row>
    <row r="23" customFormat="false" ht="21.75" hidden="false" customHeight="true" outlineLevel="0" collapsed="false">
      <c r="A23" s="21" t="n">
        <v>20</v>
      </c>
      <c r="B23" s="22"/>
      <c r="C23" s="8"/>
      <c r="D23" s="8"/>
      <c r="E23" s="8"/>
      <c r="F23" s="29"/>
      <c r="G23" s="29"/>
      <c r="H23" s="8"/>
      <c r="I23" s="8"/>
      <c r="J23" s="29"/>
      <c r="K23" s="23"/>
      <c r="L23" s="23"/>
      <c r="M23" s="29"/>
      <c r="N23" s="24" t="str">
        <f aca="false">IF(AND(L23&lt;&gt;"",K23&lt;&gt;""),L23-K23,"")</f>
        <v/>
      </c>
      <c r="O23" s="24" t="str">
        <f aca="false">IF(AND(N23&lt;&gt;"",M23&lt;&gt;""),N23-M23,"")</f>
        <v/>
      </c>
      <c r="P23" s="25"/>
      <c r="Q23" s="30"/>
      <c r="R23" s="29"/>
      <c r="S23" s="30"/>
      <c r="T23" s="30"/>
      <c r="U23" s="8"/>
      <c r="V23" s="8"/>
      <c r="W23" s="8"/>
      <c r="X23" s="27"/>
      <c r="Y23" s="31"/>
      <c r="Z23" s="31"/>
      <c r="AA23" s="31"/>
      <c r="AB23" s="31"/>
      <c r="AC23" s="31"/>
      <c r="AD23" s="29"/>
      <c r="AE23" s="29"/>
      <c r="AF23" s="29"/>
      <c r="AG23" s="29"/>
      <c r="AH23" s="31"/>
      <c r="AI23" s="8"/>
      <c r="AJ23" s="29"/>
      <c r="AK23" s="29"/>
      <c r="AL23" s="29"/>
      <c r="AM23" s="29"/>
    </row>
    <row r="24" customFormat="false" ht="21.75" hidden="false" customHeight="true" outlineLevel="0" collapsed="false">
      <c r="A24" s="21" t="n">
        <v>21</v>
      </c>
      <c r="B24" s="22"/>
      <c r="C24" s="8"/>
      <c r="D24" s="8"/>
      <c r="E24" s="8"/>
      <c r="F24" s="10"/>
      <c r="G24" s="10"/>
      <c r="H24" s="8"/>
      <c r="I24" s="8"/>
      <c r="J24" s="10"/>
      <c r="K24" s="23"/>
      <c r="L24" s="23"/>
      <c r="M24" s="10"/>
      <c r="N24" s="24" t="str">
        <f aca="false">IF(AND(L24&lt;&gt;"",K24&lt;&gt;""),L24-K24,"")</f>
        <v/>
      </c>
      <c r="O24" s="24" t="str">
        <f aca="false">IF(AND(N24&lt;&gt;"",M24&lt;&gt;""),N24-M24,"")</f>
        <v/>
      </c>
      <c r="P24" s="25"/>
      <c r="Q24" s="26"/>
      <c r="R24" s="10"/>
      <c r="S24" s="26"/>
      <c r="T24" s="26"/>
      <c r="U24" s="8"/>
      <c r="V24" s="8"/>
      <c r="W24" s="8"/>
      <c r="X24" s="27"/>
      <c r="Y24" s="28"/>
      <c r="Z24" s="28"/>
      <c r="AA24" s="28"/>
      <c r="AB24" s="28"/>
      <c r="AC24" s="28"/>
      <c r="AD24" s="10"/>
      <c r="AE24" s="10"/>
      <c r="AF24" s="10"/>
      <c r="AG24" s="10"/>
      <c r="AH24" s="28"/>
      <c r="AI24" s="8"/>
      <c r="AJ24" s="10"/>
      <c r="AK24" s="10"/>
      <c r="AL24" s="10"/>
      <c r="AM24" s="10"/>
    </row>
    <row r="25" customFormat="false" ht="21.75" hidden="false" customHeight="true" outlineLevel="0" collapsed="false">
      <c r="A25" s="21" t="n">
        <v>22</v>
      </c>
      <c r="B25" s="22"/>
      <c r="C25" s="8"/>
      <c r="D25" s="8"/>
      <c r="E25" s="8"/>
      <c r="F25" s="29"/>
      <c r="G25" s="29"/>
      <c r="H25" s="8"/>
      <c r="I25" s="8"/>
      <c r="J25" s="29"/>
      <c r="K25" s="23"/>
      <c r="L25" s="23"/>
      <c r="M25" s="29"/>
      <c r="N25" s="24" t="str">
        <f aca="false">IF(AND(L25&lt;&gt;"",K25&lt;&gt;""),L25-K25,"")</f>
        <v/>
      </c>
      <c r="O25" s="24" t="str">
        <f aca="false">IF(AND(N25&lt;&gt;"",M25&lt;&gt;""),N25-M25,"")</f>
        <v/>
      </c>
      <c r="P25" s="25"/>
      <c r="Q25" s="30"/>
      <c r="R25" s="29"/>
      <c r="S25" s="30"/>
      <c r="T25" s="30"/>
      <c r="U25" s="8"/>
      <c r="V25" s="8"/>
      <c r="W25" s="8"/>
      <c r="X25" s="27"/>
      <c r="Y25" s="31"/>
      <c r="Z25" s="31"/>
      <c r="AA25" s="31"/>
      <c r="AB25" s="31"/>
      <c r="AC25" s="31"/>
      <c r="AD25" s="29"/>
      <c r="AE25" s="29"/>
      <c r="AF25" s="29"/>
      <c r="AG25" s="29"/>
      <c r="AH25" s="31"/>
      <c r="AI25" s="8"/>
      <c r="AJ25" s="29"/>
      <c r="AK25" s="29"/>
      <c r="AL25" s="29"/>
      <c r="AM25" s="29"/>
    </row>
    <row r="26" customFormat="false" ht="21.75" hidden="false" customHeight="true" outlineLevel="0" collapsed="false">
      <c r="A26" s="21" t="n">
        <v>23</v>
      </c>
      <c r="B26" s="22"/>
      <c r="C26" s="8"/>
      <c r="D26" s="8"/>
      <c r="E26" s="8"/>
      <c r="F26" s="10"/>
      <c r="G26" s="10"/>
      <c r="H26" s="8"/>
      <c r="I26" s="8"/>
      <c r="J26" s="10"/>
      <c r="K26" s="23"/>
      <c r="L26" s="23"/>
      <c r="M26" s="10"/>
      <c r="N26" s="24" t="str">
        <f aca="false">IF(AND(L26&lt;&gt;"",K26&lt;&gt;""),L26-K26,"")</f>
        <v/>
      </c>
      <c r="O26" s="24" t="str">
        <f aca="false">IF(AND(N26&lt;&gt;"",M26&lt;&gt;""),N26-M26,"")</f>
        <v/>
      </c>
      <c r="P26" s="25"/>
      <c r="Q26" s="26"/>
      <c r="R26" s="10"/>
      <c r="S26" s="26"/>
      <c r="T26" s="26"/>
      <c r="U26" s="8"/>
      <c r="V26" s="8"/>
      <c r="W26" s="8"/>
      <c r="X26" s="27"/>
      <c r="Y26" s="28"/>
      <c r="Z26" s="28"/>
      <c r="AA26" s="28"/>
      <c r="AB26" s="28"/>
      <c r="AC26" s="28"/>
      <c r="AD26" s="10"/>
      <c r="AE26" s="10"/>
      <c r="AF26" s="10"/>
      <c r="AG26" s="10"/>
      <c r="AH26" s="28"/>
      <c r="AI26" s="8"/>
      <c r="AJ26" s="10"/>
      <c r="AK26" s="10"/>
      <c r="AL26" s="10"/>
      <c r="AM26" s="10"/>
    </row>
    <row r="27" customFormat="false" ht="21.75" hidden="false" customHeight="true" outlineLevel="0" collapsed="false">
      <c r="A27" s="21" t="n">
        <v>24</v>
      </c>
      <c r="B27" s="22"/>
      <c r="C27" s="8"/>
      <c r="D27" s="8"/>
      <c r="E27" s="8"/>
      <c r="F27" s="29"/>
      <c r="G27" s="29"/>
      <c r="H27" s="8"/>
      <c r="I27" s="8"/>
      <c r="J27" s="29"/>
      <c r="K27" s="23"/>
      <c r="L27" s="23"/>
      <c r="M27" s="29"/>
      <c r="N27" s="24" t="str">
        <f aca="false">IF(AND(L27&lt;&gt;"",K27&lt;&gt;""),L27-K27,"")</f>
        <v/>
      </c>
      <c r="O27" s="24" t="str">
        <f aca="false">IF(AND(N27&lt;&gt;"",M27&lt;&gt;""),N27-M27,"")</f>
        <v/>
      </c>
      <c r="P27" s="25"/>
      <c r="Q27" s="30"/>
      <c r="R27" s="29"/>
      <c r="S27" s="30"/>
      <c r="T27" s="30"/>
      <c r="U27" s="8"/>
      <c r="V27" s="8"/>
      <c r="W27" s="8"/>
      <c r="X27" s="27"/>
      <c r="Y27" s="31"/>
      <c r="Z27" s="31"/>
      <c r="AA27" s="31"/>
      <c r="AB27" s="31"/>
      <c r="AC27" s="31"/>
      <c r="AD27" s="29"/>
      <c r="AE27" s="29"/>
      <c r="AF27" s="29"/>
      <c r="AG27" s="29"/>
      <c r="AH27" s="31"/>
      <c r="AI27" s="8"/>
      <c r="AJ27" s="29"/>
      <c r="AK27" s="29"/>
      <c r="AL27" s="29"/>
      <c r="AM27" s="29"/>
    </row>
    <row r="28" customFormat="false" ht="21.75" hidden="false" customHeight="true" outlineLevel="0" collapsed="false">
      <c r="A28" s="21" t="n">
        <v>25</v>
      </c>
      <c r="B28" s="22"/>
      <c r="C28" s="8"/>
      <c r="D28" s="8"/>
      <c r="E28" s="8"/>
      <c r="F28" s="10"/>
      <c r="G28" s="10"/>
      <c r="H28" s="8"/>
      <c r="I28" s="8"/>
      <c r="J28" s="10"/>
      <c r="K28" s="23"/>
      <c r="L28" s="23"/>
      <c r="M28" s="10"/>
      <c r="N28" s="24" t="str">
        <f aca="false">IF(AND(L28&lt;&gt;"",K28&lt;&gt;""),L28-K28,"")</f>
        <v/>
      </c>
      <c r="O28" s="24" t="str">
        <f aca="false">IF(AND(N28&lt;&gt;"",M28&lt;&gt;""),N28-M28,"")</f>
        <v/>
      </c>
      <c r="P28" s="25"/>
      <c r="Q28" s="26"/>
      <c r="R28" s="10"/>
      <c r="S28" s="26"/>
      <c r="T28" s="26"/>
      <c r="U28" s="8"/>
      <c r="V28" s="8"/>
      <c r="W28" s="8"/>
      <c r="X28" s="27"/>
      <c r="Y28" s="28"/>
      <c r="Z28" s="28"/>
      <c r="AA28" s="28"/>
      <c r="AB28" s="28"/>
      <c r="AC28" s="28"/>
      <c r="AD28" s="10"/>
      <c r="AE28" s="10"/>
      <c r="AF28" s="10"/>
      <c r="AG28" s="10"/>
      <c r="AH28" s="28"/>
      <c r="AI28" s="8"/>
      <c r="AJ28" s="10"/>
      <c r="AK28" s="10"/>
      <c r="AL28" s="10"/>
      <c r="AM28" s="10"/>
    </row>
    <row r="29" customFormat="false" ht="21.75" hidden="false" customHeight="true" outlineLevel="0" collapsed="false">
      <c r="A29" s="21" t="n">
        <v>26</v>
      </c>
      <c r="B29" s="22"/>
      <c r="C29" s="8"/>
      <c r="D29" s="8"/>
      <c r="E29" s="8"/>
      <c r="F29" s="29"/>
      <c r="G29" s="29"/>
      <c r="H29" s="8"/>
      <c r="I29" s="8"/>
      <c r="J29" s="29"/>
      <c r="K29" s="23"/>
      <c r="L29" s="23"/>
      <c r="M29" s="29"/>
      <c r="N29" s="24" t="str">
        <f aca="false">IF(AND(L29&lt;&gt;"",K29&lt;&gt;""),L29-K29,"")</f>
        <v/>
      </c>
      <c r="O29" s="24" t="str">
        <f aca="false">IF(AND(N29&lt;&gt;"",M29&lt;&gt;""),N29-M29,"")</f>
        <v/>
      </c>
      <c r="P29" s="25"/>
      <c r="Q29" s="30"/>
      <c r="R29" s="29"/>
      <c r="S29" s="30"/>
      <c r="T29" s="30"/>
      <c r="U29" s="8"/>
      <c r="V29" s="8"/>
      <c r="W29" s="8"/>
      <c r="X29" s="27"/>
      <c r="Y29" s="31"/>
      <c r="Z29" s="31"/>
      <c r="AA29" s="31"/>
      <c r="AB29" s="31"/>
      <c r="AC29" s="31"/>
      <c r="AD29" s="29"/>
      <c r="AE29" s="29"/>
      <c r="AF29" s="29"/>
      <c r="AG29" s="29"/>
      <c r="AH29" s="31"/>
      <c r="AI29" s="8"/>
      <c r="AJ29" s="29"/>
      <c r="AK29" s="29"/>
      <c r="AL29" s="29"/>
      <c r="AM29" s="29"/>
    </row>
    <row r="30" customFormat="false" ht="21.75" hidden="false" customHeight="true" outlineLevel="0" collapsed="false">
      <c r="A30" s="21" t="n">
        <v>27</v>
      </c>
      <c r="B30" s="22"/>
      <c r="C30" s="8"/>
      <c r="D30" s="8"/>
      <c r="E30" s="8"/>
      <c r="F30" s="10"/>
      <c r="G30" s="10"/>
      <c r="H30" s="8"/>
      <c r="I30" s="8"/>
      <c r="J30" s="10"/>
      <c r="K30" s="23"/>
      <c r="L30" s="23"/>
      <c r="M30" s="10"/>
      <c r="N30" s="24" t="str">
        <f aca="false">IF(AND(L30&lt;&gt;"",K30&lt;&gt;""),L30-K30,"")</f>
        <v/>
      </c>
      <c r="O30" s="24" t="str">
        <f aca="false">IF(AND(N30&lt;&gt;"",M30&lt;&gt;""),N30-M30,"")</f>
        <v/>
      </c>
      <c r="P30" s="25"/>
      <c r="Q30" s="26"/>
      <c r="R30" s="10"/>
      <c r="S30" s="26"/>
      <c r="T30" s="26"/>
      <c r="U30" s="8"/>
      <c r="V30" s="8"/>
      <c r="W30" s="8"/>
      <c r="X30" s="27"/>
      <c r="Y30" s="28"/>
      <c r="Z30" s="28"/>
      <c r="AA30" s="28"/>
      <c r="AB30" s="28"/>
      <c r="AC30" s="28"/>
      <c r="AD30" s="10"/>
      <c r="AE30" s="10"/>
      <c r="AF30" s="10"/>
      <c r="AG30" s="10"/>
      <c r="AH30" s="28"/>
      <c r="AI30" s="8"/>
      <c r="AJ30" s="10"/>
      <c r="AK30" s="10"/>
      <c r="AL30" s="10"/>
      <c r="AM30" s="10"/>
    </row>
    <row r="31" customFormat="false" ht="21.75" hidden="false" customHeight="true" outlineLevel="0" collapsed="false">
      <c r="A31" s="21" t="n">
        <v>28</v>
      </c>
      <c r="B31" s="22"/>
      <c r="C31" s="8"/>
      <c r="D31" s="8"/>
      <c r="E31" s="8"/>
      <c r="F31" s="29"/>
      <c r="G31" s="29"/>
      <c r="H31" s="8"/>
      <c r="I31" s="8"/>
      <c r="J31" s="29"/>
      <c r="K31" s="23"/>
      <c r="L31" s="23"/>
      <c r="M31" s="29"/>
      <c r="N31" s="24" t="str">
        <f aca="false">IF(AND(L31&lt;&gt;"",K31&lt;&gt;""),L31-K31,"")</f>
        <v/>
      </c>
      <c r="O31" s="24" t="str">
        <f aca="false">IF(AND(N31&lt;&gt;"",M31&lt;&gt;""),N31-M31,"")</f>
        <v/>
      </c>
      <c r="P31" s="25"/>
      <c r="Q31" s="30"/>
      <c r="R31" s="29"/>
      <c r="S31" s="30"/>
      <c r="T31" s="30"/>
      <c r="U31" s="8"/>
      <c r="V31" s="8"/>
      <c r="W31" s="8"/>
      <c r="X31" s="27"/>
      <c r="Y31" s="31"/>
      <c r="Z31" s="31"/>
      <c r="AA31" s="31"/>
      <c r="AB31" s="31"/>
      <c r="AC31" s="31"/>
      <c r="AD31" s="29"/>
      <c r="AE31" s="29"/>
      <c r="AF31" s="29"/>
      <c r="AG31" s="29"/>
      <c r="AH31" s="31"/>
      <c r="AI31" s="8"/>
      <c r="AJ31" s="29"/>
      <c r="AK31" s="29"/>
      <c r="AL31" s="29"/>
      <c r="AM31" s="29"/>
    </row>
    <row r="32" customFormat="false" ht="21.75" hidden="false" customHeight="true" outlineLevel="0" collapsed="false">
      <c r="A32" s="21" t="n">
        <v>29</v>
      </c>
      <c r="B32" s="22"/>
      <c r="C32" s="8"/>
      <c r="D32" s="8"/>
      <c r="E32" s="8"/>
      <c r="F32" s="10"/>
      <c r="G32" s="10"/>
      <c r="H32" s="8"/>
      <c r="I32" s="8"/>
      <c r="J32" s="10"/>
      <c r="K32" s="23"/>
      <c r="L32" s="23"/>
      <c r="M32" s="10"/>
      <c r="N32" s="24" t="str">
        <f aca="false">IF(AND(L32&lt;&gt;"",K32&lt;&gt;""),L32-K32,"")</f>
        <v/>
      </c>
      <c r="O32" s="24" t="str">
        <f aca="false">IF(AND(N32&lt;&gt;"",M32&lt;&gt;""),N32-M32,"")</f>
        <v/>
      </c>
      <c r="P32" s="25"/>
      <c r="Q32" s="26"/>
      <c r="R32" s="10"/>
      <c r="S32" s="26"/>
      <c r="T32" s="26"/>
      <c r="U32" s="8"/>
      <c r="V32" s="8"/>
      <c r="W32" s="8"/>
      <c r="X32" s="27"/>
      <c r="Y32" s="28"/>
      <c r="Z32" s="28"/>
      <c r="AA32" s="28"/>
      <c r="AB32" s="28"/>
      <c r="AC32" s="28"/>
      <c r="AD32" s="10"/>
      <c r="AE32" s="10"/>
      <c r="AF32" s="10"/>
      <c r="AG32" s="10"/>
      <c r="AH32" s="28"/>
      <c r="AI32" s="8"/>
      <c r="AJ32" s="10"/>
      <c r="AK32" s="10"/>
      <c r="AL32" s="10"/>
      <c r="AM32" s="10"/>
    </row>
    <row r="33" customFormat="false" ht="21.75" hidden="false" customHeight="true" outlineLevel="0" collapsed="false">
      <c r="A33" s="21" t="n">
        <v>30</v>
      </c>
      <c r="B33" s="22"/>
      <c r="C33" s="8"/>
      <c r="D33" s="8"/>
      <c r="E33" s="8"/>
      <c r="F33" s="29"/>
      <c r="G33" s="29"/>
      <c r="H33" s="8"/>
      <c r="I33" s="8"/>
      <c r="J33" s="29"/>
      <c r="K33" s="23"/>
      <c r="L33" s="23"/>
      <c r="M33" s="29"/>
      <c r="N33" s="24" t="str">
        <f aca="false">IF(AND(L33&lt;&gt;"",K33&lt;&gt;""),L33-K33,"")</f>
        <v/>
      </c>
      <c r="O33" s="24" t="str">
        <f aca="false">IF(AND(N33&lt;&gt;"",M33&lt;&gt;""),N33-M33,"")</f>
        <v/>
      </c>
      <c r="P33" s="25"/>
      <c r="Q33" s="30"/>
      <c r="R33" s="29"/>
      <c r="S33" s="30"/>
      <c r="T33" s="30"/>
      <c r="U33" s="8"/>
      <c r="V33" s="8"/>
      <c r="W33" s="8"/>
      <c r="X33" s="27"/>
      <c r="Y33" s="31"/>
      <c r="Z33" s="31"/>
      <c r="AA33" s="31"/>
      <c r="AB33" s="31"/>
      <c r="AC33" s="31"/>
      <c r="AD33" s="29"/>
      <c r="AE33" s="29"/>
      <c r="AF33" s="29"/>
      <c r="AG33" s="29"/>
      <c r="AH33" s="31"/>
      <c r="AI33" s="8"/>
      <c r="AJ33" s="29"/>
      <c r="AK33" s="29"/>
      <c r="AL33" s="29"/>
      <c r="AM33" s="29"/>
    </row>
    <row r="34" customFormat="false" ht="21.75" hidden="false" customHeight="true" outlineLevel="0" collapsed="false">
      <c r="A34" s="21" t="n">
        <v>31</v>
      </c>
      <c r="B34" s="22"/>
      <c r="C34" s="8"/>
      <c r="D34" s="8"/>
      <c r="E34" s="8"/>
      <c r="F34" s="10"/>
      <c r="G34" s="10"/>
      <c r="H34" s="8"/>
      <c r="I34" s="8"/>
      <c r="J34" s="10"/>
      <c r="K34" s="23"/>
      <c r="L34" s="23"/>
      <c r="M34" s="10"/>
      <c r="N34" s="24" t="str">
        <f aca="false">IF(AND(L34&lt;&gt;"",K34&lt;&gt;""),L34-K34,"")</f>
        <v/>
      </c>
      <c r="O34" s="24" t="str">
        <f aca="false">IF(AND(N34&lt;&gt;"",M34&lt;&gt;""),N34-M34,"")</f>
        <v/>
      </c>
      <c r="P34" s="25"/>
      <c r="Q34" s="26"/>
      <c r="R34" s="10"/>
      <c r="S34" s="26"/>
      <c r="T34" s="26"/>
      <c r="U34" s="8"/>
      <c r="V34" s="8"/>
      <c r="W34" s="8"/>
      <c r="X34" s="27"/>
      <c r="Y34" s="28"/>
      <c r="Z34" s="28"/>
      <c r="AA34" s="28"/>
      <c r="AB34" s="28"/>
      <c r="AC34" s="28"/>
      <c r="AD34" s="10"/>
      <c r="AE34" s="10"/>
      <c r="AF34" s="10"/>
      <c r="AG34" s="10"/>
      <c r="AH34" s="28"/>
      <c r="AI34" s="8"/>
      <c r="AJ34" s="10"/>
      <c r="AK34" s="10"/>
      <c r="AL34" s="10"/>
      <c r="AM34" s="10"/>
    </row>
    <row r="35" customFormat="false" ht="21.75" hidden="false" customHeight="true" outlineLevel="0" collapsed="false">
      <c r="A35" s="21" t="n">
        <v>32</v>
      </c>
      <c r="B35" s="22"/>
      <c r="C35" s="8"/>
      <c r="D35" s="8"/>
      <c r="E35" s="8"/>
      <c r="F35" s="29"/>
      <c r="G35" s="29"/>
      <c r="H35" s="8"/>
      <c r="I35" s="8"/>
      <c r="J35" s="29"/>
      <c r="K35" s="23"/>
      <c r="L35" s="23"/>
      <c r="M35" s="29"/>
      <c r="N35" s="24" t="str">
        <f aca="false">IF(AND(L35&lt;&gt;"",K35&lt;&gt;""),L35-K35,"")</f>
        <v/>
      </c>
      <c r="O35" s="24" t="str">
        <f aca="false">IF(AND(N35&lt;&gt;"",M35&lt;&gt;""),N35-M35,"")</f>
        <v/>
      </c>
      <c r="P35" s="25"/>
      <c r="Q35" s="30"/>
      <c r="R35" s="29"/>
      <c r="S35" s="30"/>
      <c r="T35" s="30"/>
      <c r="U35" s="8"/>
      <c r="V35" s="8"/>
      <c r="W35" s="8"/>
      <c r="X35" s="27"/>
      <c r="Y35" s="31"/>
      <c r="Z35" s="31"/>
      <c r="AA35" s="31"/>
      <c r="AB35" s="31"/>
      <c r="AC35" s="31"/>
      <c r="AD35" s="29"/>
      <c r="AE35" s="29"/>
      <c r="AF35" s="29"/>
      <c r="AG35" s="29"/>
      <c r="AH35" s="31"/>
      <c r="AI35" s="8"/>
      <c r="AJ35" s="29"/>
      <c r="AK35" s="29"/>
      <c r="AL35" s="29"/>
      <c r="AM35" s="29"/>
    </row>
    <row r="36" customFormat="false" ht="21.75" hidden="false" customHeight="true" outlineLevel="0" collapsed="false">
      <c r="A36" s="21" t="n">
        <v>33</v>
      </c>
      <c r="B36" s="22"/>
      <c r="C36" s="8"/>
      <c r="D36" s="8"/>
      <c r="E36" s="8"/>
      <c r="F36" s="10"/>
      <c r="G36" s="10"/>
      <c r="H36" s="8"/>
      <c r="I36" s="8"/>
      <c r="J36" s="10"/>
      <c r="K36" s="23"/>
      <c r="L36" s="23"/>
      <c r="M36" s="10"/>
      <c r="N36" s="24" t="str">
        <f aca="false">IF(AND(L36&lt;&gt;"",K36&lt;&gt;""),L36-K36,"")</f>
        <v/>
      </c>
      <c r="O36" s="24" t="str">
        <f aca="false">IF(AND(N36&lt;&gt;"",M36&lt;&gt;""),N36-M36,"")</f>
        <v/>
      </c>
      <c r="P36" s="25"/>
      <c r="Q36" s="26"/>
      <c r="R36" s="10"/>
      <c r="S36" s="26"/>
      <c r="T36" s="26"/>
      <c r="U36" s="8"/>
      <c r="V36" s="8"/>
      <c r="W36" s="8"/>
      <c r="X36" s="27"/>
      <c r="Y36" s="28"/>
      <c r="Z36" s="28"/>
      <c r="AA36" s="28"/>
      <c r="AB36" s="28"/>
      <c r="AC36" s="28"/>
      <c r="AD36" s="10"/>
      <c r="AE36" s="10"/>
      <c r="AF36" s="10"/>
      <c r="AG36" s="10"/>
      <c r="AH36" s="28"/>
      <c r="AI36" s="8"/>
      <c r="AJ36" s="10"/>
      <c r="AK36" s="10"/>
      <c r="AL36" s="10"/>
      <c r="AM36" s="10"/>
    </row>
    <row r="37" customFormat="false" ht="21.75" hidden="false" customHeight="true" outlineLevel="0" collapsed="false">
      <c r="A37" s="21" t="n">
        <v>34</v>
      </c>
      <c r="B37" s="22"/>
      <c r="C37" s="8"/>
      <c r="D37" s="8"/>
      <c r="E37" s="8"/>
      <c r="F37" s="29"/>
      <c r="G37" s="29"/>
      <c r="H37" s="8"/>
      <c r="I37" s="8"/>
      <c r="J37" s="29"/>
      <c r="K37" s="23"/>
      <c r="L37" s="23"/>
      <c r="M37" s="29"/>
      <c r="N37" s="24" t="str">
        <f aca="false">IF(AND(L37&lt;&gt;"",K37&lt;&gt;""),L37-K37,"")</f>
        <v/>
      </c>
      <c r="O37" s="24" t="str">
        <f aca="false">IF(AND(N37&lt;&gt;"",M37&lt;&gt;""),N37-M37,"")</f>
        <v/>
      </c>
      <c r="P37" s="25"/>
      <c r="Q37" s="30"/>
      <c r="R37" s="29"/>
      <c r="S37" s="30"/>
      <c r="T37" s="30"/>
      <c r="U37" s="8"/>
      <c r="V37" s="8"/>
      <c r="W37" s="8"/>
      <c r="X37" s="27"/>
      <c r="Y37" s="31"/>
      <c r="Z37" s="31"/>
      <c r="AA37" s="31"/>
      <c r="AB37" s="31"/>
      <c r="AC37" s="31"/>
      <c r="AD37" s="29"/>
      <c r="AE37" s="29"/>
      <c r="AF37" s="29"/>
      <c r="AG37" s="29"/>
      <c r="AH37" s="31"/>
      <c r="AI37" s="8"/>
      <c r="AJ37" s="29"/>
      <c r="AK37" s="29"/>
      <c r="AL37" s="29"/>
      <c r="AM37" s="29"/>
    </row>
    <row r="38" customFormat="false" ht="21.75" hidden="false" customHeight="true" outlineLevel="0" collapsed="false">
      <c r="A38" s="21" t="n">
        <v>35</v>
      </c>
      <c r="B38" s="22"/>
      <c r="C38" s="8"/>
      <c r="D38" s="8"/>
      <c r="E38" s="8"/>
      <c r="F38" s="10"/>
      <c r="G38" s="10"/>
      <c r="H38" s="8"/>
      <c r="I38" s="8"/>
      <c r="J38" s="10"/>
      <c r="K38" s="23"/>
      <c r="L38" s="23"/>
      <c r="M38" s="10"/>
      <c r="N38" s="24" t="str">
        <f aca="false">IF(AND(L38&lt;&gt;"",K38&lt;&gt;""),L38-K38,"")</f>
        <v/>
      </c>
      <c r="O38" s="24" t="str">
        <f aca="false">IF(AND(N38&lt;&gt;"",M38&lt;&gt;""),N38-M38,"")</f>
        <v/>
      </c>
      <c r="P38" s="25"/>
      <c r="Q38" s="26"/>
      <c r="R38" s="10"/>
      <c r="S38" s="26"/>
      <c r="T38" s="26"/>
      <c r="U38" s="8"/>
      <c r="V38" s="8"/>
      <c r="W38" s="8"/>
      <c r="X38" s="27"/>
      <c r="Y38" s="28"/>
      <c r="Z38" s="28"/>
      <c r="AA38" s="28"/>
      <c r="AB38" s="28"/>
      <c r="AC38" s="28"/>
      <c r="AD38" s="10"/>
      <c r="AE38" s="10"/>
      <c r="AF38" s="10"/>
      <c r="AG38" s="10"/>
      <c r="AH38" s="28"/>
      <c r="AI38" s="8"/>
      <c r="AJ38" s="10"/>
      <c r="AK38" s="10"/>
      <c r="AL38" s="10"/>
      <c r="AM38" s="10"/>
    </row>
    <row r="39" customFormat="false" ht="21.75" hidden="false" customHeight="true" outlineLevel="0" collapsed="false">
      <c r="A39" s="21" t="n">
        <v>36</v>
      </c>
      <c r="B39" s="22"/>
      <c r="C39" s="8"/>
      <c r="D39" s="8"/>
      <c r="E39" s="8"/>
      <c r="F39" s="29"/>
      <c r="G39" s="29"/>
      <c r="H39" s="8"/>
      <c r="I39" s="8"/>
      <c r="J39" s="29"/>
      <c r="K39" s="23"/>
      <c r="L39" s="23"/>
      <c r="M39" s="29"/>
      <c r="N39" s="24" t="str">
        <f aca="false">IF(AND(L39&lt;&gt;"",K39&lt;&gt;""),L39-K39,"")</f>
        <v/>
      </c>
      <c r="O39" s="24" t="str">
        <f aca="false">IF(AND(N39&lt;&gt;"",M39&lt;&gt;""),N39-M39,"")</f>
        <v/>
      </c>
      <c r="P39" s="25"/>
      <c r="Q39" s="30"/>
      <c r="R39" s="29"/>
      <c r="S39" s="30"/>
      <c r="T39" s="30"/>
      <c r="U39" s="8"/>
      <c r="V39" s="8"/>
      <c r="W39" s="8"/>
      <c r="X39" s="27"/>
      <c r="Y39" s="31"/>
      <c r="Z39" s="31"/>
      <c r="AA39" s="31"/>
      <c r="AB39" s="31"/>
      <c r="AC39" s="31"/>
      <c r="AD39" s="29"/>
      <c r="AE39" s="29"/>
      <c r="AF39" s="29"/>
      <c r="AG39" s="29"/>
      <c r="AH39" s="31"/>
      <c r="AI39" s="8"/>
      <c r="AJ39" s="29"/>
      <c r="AK39" s="29"/>
      <c r="AL39" s="29"/>
      <c r="AM39" s="29"/>
    </row>
    <row r="40" customFormat="false" ht="21.75" hidden="false" customHeight="true" outlineLevel="0" collapsed="false">
      <c r="A40" s="21" t="n">
        <v>37</v>
      </c>
      <c r="B40" s="22"/>
      <c r="C40" s="8"/>
      <c r="D40" s="8"/>
      <c r="E40" s="8"/>
      <c r="F40" s="10"/>
      <c r="G40" s="10"/>
      <c r="H40" s="8"/>
      <c r="I40" s="8"/>
      <c r="J40" s="10"/>
      <c r="K40" s="23"/>
      <c r="L40" s="23"/>
      <c r="M40" s="10"/>
      <c r="N40" s="24" t="str">
        <f aca="false">IF(AND(L40&lt;&gt;"",K40&lt;&gt;""),L40-K40,"")</f>
        <v/>
      </c>
      <c r="O40" s="24" t="str">
        <f aca="false">IF(AND(N40&lt;&gt;"",M40&lt;&gt;""),N40-M40,"")</f>
        <v/>
      </c>
      <c r="P40" s="25"/>
      <c r="Q40" s="26"/>
      <c r="R40" s="10"/>
      <c r="S40" s="26"/>
      <c r="T40" s="26"/>
      <c r="U40" s="8"/>
      <c r="V40" s="8"/>
      <c r="W40" s="8"/>
      <c r="X40" s="27"/>
      <c r="Y40" s="28"/>
      <c r="Z40" s="28"/>
      <c r="AA40" s="28"/>
      <c r="AB40" s="28"/>
      <c r="AC40" s="28"/>
      <c r="AD40" s="10"/>
      <c r="AE40" s="10"/>
      <c r="AF40" s="10"/>
      <c r="AG40" s="10"/>
      <c r="AH40" s="28"/>
      <c r="AI40" s="8"/>
      <c r="AJ40" s="10"/>
      <c r="AK40" s="10"/>
      <c r="AL40" s="10"/>
      <c r="AM40" s="10"/>
    </row>
    <row r="41" customFormat="false" ht="21.75" hidden="false" customHeight="true" outlineLevel="0" collapsed="false">
      <c r="A41" s="21" t="n">
        <v>38</v>
      </c>
      <c r="B41" s="22"/>
      <c r="C41" s="8"/>
      <c r="D41" s="8"/>
      <c r="E41" s="8"/>
      <c r="F41" s="29"/>
      <c r="G41" s="29"/>
      <c r="H41" s="8"/>
      <c r="I41" s="8"/>
      <c r="J41" s="29"/>
      <c r="K41" s="23"/>
      <c r="L41" s="23"/>
      <c r="M41" s="29"/>
      <c r="N41" s="24" t="str">
        <f aca="false">IF(AND(L41&lt;&gt;"",K41&lt;&gt;""),L41-K41,"")</f>
        <v/>
      </c>
      <c r="O41" s="24" t="str">
        <f aca="false">IF(AND(N41&lt;&gt;"",M41&lt;&gt;""),N41-M41,"")</f>
        <v/>
      </c>
      <c r="P41" s="25"/>
      <c r="Q41" s="30"/>
      <c r="R41" s="29"/>
      <c r="S41" s="30"/>
      <c r="T41" s="30"/>
      <c r="U41" s="8"/>
      <c r="V41" s="8"/>
      <c r="W41" s="8"/>
      <c r="X41" s="27"/>
      <c r="Y41" s="31"/>
      <c r="Z41" s="31"/>
      <c r="AA41" s="31"/>
      <c r="AB41" s="31"/>
      <c r="AC41" s="31"/>
      <c r="AD41" s="29"/>
      <c r="AE41" s="29"/>
      <c r="AF41" s="29"/>
      <c r="AG41" s="29"/>
      <c r="AH41" s="31"/>
      <c r="AI41" s="8"/>
      <c r="AJ41" s="29"/>
      <c r="AK41" s="29"/>
      <c r="AL41" s="29"/>
      <c r="AM41" s="29"/>
    </row>
    <row r="42" customFormat="false" ht="21.75" hidden="false" customHeight="true" outlineLevel="0" collapsed="false">
      <c r="A42" s="21" t="n">
        <v>39</v>
      </c>
      <c r="B42" s="22"/>
      <c r="C42" s="8"/>
      <c r="D42" s="8"/>
      <c r="E42" s="8"/>
      <c r="F42" s="10"/>
      <c r="G42" s="10"/>
      <c r="H42" s="8"/>
      <c r="I42" s="8"/>
      <c r="J42" s="10"/>
      <c r="K42" s="23"/>
      <c r="L42" s="23"/>
      <c r="M42" s="10"/>
      <c r="N42" s="24" t="str">
        <f aca="false">IF(AND(L42&lt;&gt;"",K42&lt;&gt;""),L42-K42,"")</f>
        <v/>
      </c>
      <c r="O42" s="24" t="str">
        <f aca="false">IF(AND(N42&lt;&gt;"",M42&lt;&gt;""),N42-M42,"")</f>
        <v/>
      </c>
      <c r="P42" s="25"/>
      <c r="Q42" s="26"/>
      <c r="R42" s="10"/>
      <c r="S42" s="26"/>
      <c r="T42" s="26"/>
      <c r="U42" s="8"/>
      <c r="V42" s="8"/>
      <c r="W42" s="8"/>
      <c r="X42" s="27"/>
      <c r="Y42" s="28"/>
      <c r="Z42" s="28"/>
      <c r="AA42" s="28"/>
      <c r="AB42" s="28"/>
      <c r="AC42" s="28"/>
      <c r="AD42" s="10"/>
      <c r="AE42" s="10"/>
      <c r="AF42" s="10"/>
      <c r="AG42" s="10"/>
      <c r="AH42" s="28"/>
      <c r="AI42" s="8"/>
      <c r="AJ42" s="10"/>
      <c r="AK42" s="10"/>
      <c r="AL42" s="10"/>
      <c r="AM42" s="10"/>
    </row>
    <row r="43" customFormat="false" ht="21.75" hidden="false" customHeight="true" outlineLevel="0" collapsed="false">
      <c r="A43" s="21" t="n">
        <v>40</v>
      </c>
      <c r="B43" s="22"/>
      <c r="C43" s="8"/>
      <c r="D43" s="8"/>
      <c r="E43" s="8"/>
      <c r="F43" s="29"/>
      <c r="G43" s="29"/>
      <c r="H43" s="8"/>
      <c r="I43" s="8"/>
      <c r="J43" s="29"/>
      <c r="K43" s="23"/>
      <c r="L43" s="23"/>
      <c r="M43" s="29"/>
      <c r="N43" s="24" t="str">
        <f aca="false">IF(AND(L43&lt;&gt;"",K43&lt;&gt;""),L43-K43,"")</f>
        <v/>
      </c>
      <c r="O43" s="24" t="str">
        <f aca="false">IF(AND(N43&lt;&gt;"",M43&lt;&gt;""),N43-M43,"")</f>
        <v/>
      </c>
      <c r="P43" s="25"/>
      <c r="Q43" s="30"/>
      <c r="R43" s="29"/>
      <c r="S43" s="30"/>
      <c r="T43" s="30"/>
      <c r="U43" s="8"/>
      <c r="V43" s="8"/>
      <c r="W43" s="8"/>
      <c r="X43" s="27"/>
      <c r="Y43" s="31"/>
      <c r="Z43" s="31"/>
      <c r="AA43" s="31"/>
      <c r="AB43" s="31"/>
      <c r="AC43" s="31"/>
      <c r="AD43" s="29"/>
      <c r="AE43" s="29"/>
      <c r="AF43" s="29"/>
      <c r="AG43" s="29"/>
      <c r="AH43" s="31"/>
      <c r="AI43" s="8"/>
      <c r="AJ43" s="29"/>
      <c r="AK43" s="29"/>
      <c r="AL43" s="29"/>
      <c r="AM43" s="29"/>
    </row>
    <row r="44" customFormat="false" ht="21.75" hidden="false" customHeight="true" outlineLevel="0" collapsed="false">
      <c r="A44" s="21" t="n">
        <v>41</v>
      </c>
      <c r="B44" s="22"/>
      <c r="C44" s="8"/>
      <c r="D44" s="8"/>
      <c r="E44" s="8"/>
      <c r="F44" s="10"/>
      <c r="G44" s="10"/>
      <c r="H44" s="8"/>
      <c r="I44" s="8"/>
      <c r="J44" s="10"/>
      <c r="K44" s="23"/>
      <c r="L44" s="23"/>
      <c r="M44" s="10"/>
      <c r="N44" s="24" t="str">
        <f aca="false">IF(AND(L44&lt;&gt;"",K44&lt;&gt;""),L44-K44,"")</f>
        <v/>
      </c>
      <c r="O44" s="24" t="str">
        <f aca="false">IF(AND(N44&lt;&gt;"",M44&lt;&gt;""),N44-M44,"")</f>
        <v/>
      </c>
      <c r="P44" s="25"/>
      <c r="Q44" s="26"/>
      <c r="R44" s="10"/>
      <c r="S44" s="26"/>
      <c r="T44" s="26"/>
      <c r="U44" s="8"/>
      <c r="V44" s="8"/>
      <c r="W44" s="8"/>
      <c r="X44" s="27"/>
      <c r="Y44" s="28"/>
      <c r="Z44" s="28"/>
      <c r="AA44" s="28"/>
      <c r="AB44" s="28"/>
      <c r="AC44" s="28"/>
      <c r="AD44" s="10"/>
      <c r="AE44" s="10"/>
      <c r="AF44" s="10"/>
      <c r="AG44" s="10"/>
      <c r="AH44" s="28"/>
      <c r="AI44" s="8"/>
      <c r="AJ44" s="10"/>
      <c r="AK44" s="10"/>
      <c r="AL44" s="10"/>
      <c r="AM44" s="10"/>
    </row>
    <row r="45" customFormat="false" ht="21.75" hidden="false" customHeight="true" outlineLevel="0" collapsed="false">
      <c r="A45" s="21" t="n">
        <v>42</v>
      </c>
      <c r="B45" s="22"/>
      <c r="C45" s="8"/>
      <c r="D45" s="8"/>
      <c r="E45" s="8"/>
      <c r="F45" s="29"/>
      <c r="G45" s="29"/>
      <c r="H45" s="8"/>
      <c r="I45" s="8"/>
      <c r="J45" s="29"/>
      <c r="K45" s="23"/>
      <c r="L45" s="23"/>
      <c r="M45" s="29"/>
      <c r="N45" s="24" t="str">
        <f aca="false">IF(AND(L45&lt;&gt;"",K45&lt;&gt;""),L45-K45,"")</f>
        <v/>
      </c>
      <c r="O45" s="24" t="str">
        <f aca="false">IF(AND(N45&lt;&gt;"",M45&lt;&gt;""),N45-M45,"")</f>
        <v/>
      </c>
      <c r="P45" s="25"/>
      <c r="Q45" s="30"/>
      <c r="R45" s="29"/>
      <c r="S45" s="30"/>
      <c r="T45" s="30"/>
      <c r="U45" s="8"/>
      <c r="V45" s="8"/>
      <c r="W45" s="8"/>
      <c r="X45" s="27"/>
      <c r="Y45" s="31"/>
      <c r="Z45" s="31"/>
      <c r="AA45" s="31"/>
      <c r="AB45" s="31"/>
      <c r="AC45" s="31"/>
      <c r="AD45" s="29"/>
      <c r="AE45" s="29"/>
      <c r="AF45" s="29"/>
      <c r="AG45" s="29"/>
      <c r="AH45" s="31"/>
      <c r="AI45" s="8"/>
      <c r="AJ45" s="29"/>
      <c r="AK45" s="29"/>
      <c r="AL45" s="29"/>
      <c r="AM45" s="29"/>
    </row>
    <row r="46" customFormat="false" ht="21.75" hidden="false" customHeight="true" outlineLevel="0" collapsed="false">
      <c r="A46" s="21" t="n">
        <v>43</v>
      </c>
      <c r="B46" s="22"/>
      <c r="C46" s="8"/>
      <c r="D46" s="8"/>
      <c r="E46" s="8"/>
      <c r="F46" s="10"/>
      <c r="G46" s="10"/>
      <c r="H46" s="8"/>
      <c r="I46" s="8"/>
      <c r="J46" s="10"/>
      <c r="K46" s="23"/>
      <c r="L46" s="23"/>
      <c r="M46" s="10"/>
      <c r="N46" s="24" t="str">
        <f aca="false">IF(AND(L46&lt;&gt;"",K46&lt;&gt;""),L46-K46,"")</f>
        <v/>
      </c>
      <c r="O46" s="24" t="str">
        <f aca="false">IF(AND(N46&lt;&gt;"",M46&lt;&gt;""),N46-M46,"")</f>
        <v/>
      </c>
      <c r="P46" s="25"/>
      <c r="Q46" s="26"/>
      <c r="R46" s="10"/>
      <c r="S46" s="26"/>
      <c r="T46" s="26"/>
      <c r="U46" s="8"/>
      <c r="V46" s="8"/>
      <c r="W46" s="8"/>
      <c r="X46" s="27"/>
      <c r="Y46" s="28"/>
      <c r="Z46" s="28"/>
      <c r="AA46" s="28"/>
      <c r="AB46" s="28"/>
      <c r="AC46" s="28"/>
      <c r="AD46" s="10"/>
      <c r="AE46" s="10"/>
      <c r="AF46" s="10"/>
      <c r="AG46" s="10"/>
      <c r="AH46" s="28"/>
      <c r="AI46" s="8"/>
      <c r="AJ46" s="10"/>
      <c r="AK46" s="10"/>
      <c r="AL46" s="10"/>
      <c r="AM46" s="10"/>
    </row>
    <row r="47" customFormat="false" ht="21.75" hidden="false" customHeight="true" outlineLevel="0" collapsed="false">
      <c r="A47" s="21" t="n">
        <v>44</v>
      </c>
      <c r="B47" s="22"/>
      <c r="C47" s="8"/>
      <c r="D47" s="8"/>
      <c r="E47" s="8"/>
      <c r="F47" s="29"/>
      <c r="G47" s="29"/>
      <c r="H47" s="8"/>
      <c r="I47" s="8"/>
      <c r="J47" s="29"/>
      <c r="K47" s="23"/>
      <c r="L47" s="23"/>
      <c r="M47" s="29"/>
      <c r="N47" s="24" t="str">
        <f aca="false">IF(AND(L47&lt;&gt;"",K47&lt;&gt;""),L47-K47,"")</f>
        <v/>
      </c>
      <c r="O47" s="24" t="str">
        <f aca="false">IF(AND(N47&lt;&gt;"",M47&lt;&gt;""),N47-M47,"")</f>
        <v/>
      </c>
      <c r="P47" s="25"/>
      <c r="Q47" s="30"/>
      <c r="R47" s="29"/>
      <c r="S47" s="30"/>
      <c r="T47" s="30"/>
      <c r="U47" s="8"/>
      <c r="V47" s="8"/>
      <c r="W47" s="8"/>
      <c r="X47" s="27"/>
      <c r="Y47" s="31"/>
      <c r="Z47" s="31"/>
      <c r="AA47" s="31"/>
      <c r="AB47" s="31"/>
      <c r="AC47" s="31"/>
      <c r="AD47" s="29"/>
      <c r="AE47" s="29"/>
      <c r="AF47" s="29"/>
      <c r="AG47" s="29"/>
      <c r="AH47" s="31"/>
      <c r="AI47" s="8"/>
      <c r="AJ47" s="29"/>
      <c r="AK47" s="29"/>
      <c r="AL47" s="29"/>
      <c r="AM47" s="29"/>
    </row>
    <row r="48" customFormat="false" ht="21.75" hidden="false" customHeight="true" outlineLevel="0" collapsed="false">
      <c r="A48" s="21" t="n">
        <v>45</v>
      </c>
      <c r="B48" s="22"/>
      <c r="C48" s="8"/>
      <c r="D48" s="8"/>
      <c r="E48" s="8"/>
      <c r="F48" s="10"/>
      <c r="G48" s="10"/>
      <c r="H48" s="8"/>
      <c r="I48" s="8"/>
      <c r="J48" s="10"/>
      <c r="K48" s="23"/>
      <c r="L48" s="23"/>
      <c r="M48" s="10"/>
      <c r="N48" s="24" t="str">
        <f aca="false">IF(AND(L48&lt;&gt;"",K48&lt;&gt;""),L48-K48,"")</f>
        <v/>
      </c>
      <c r="O48" s="24" t="str">
        <f aca="false">IF(AND(N48&lt;&gt;"",M48&lt;&gt;""),N48-M48,"")</f>
        <v/>
      </c>
      <c r="P48" s="25"/>
      <c r="Q48" s="26"/>
      <c r="R48" s="10"/>
      <c r="S48" s="26"/>
      <c r="T48" s="26"/>
      <c r="U48" s="8"/>
      <c r="V48" s="8"/>
      <c r="W48" s="8"/>
      <c r="X48" s="27"/>
      <c r="Y48" s="28"/>
      <c r="Z48" s="28"/>
      <c r="AA48" s="28"/>
      <c r="AB48" s="28"/>
      <c r="AC48" s="28"/>
      <c r="AD48" s="10"/>
      <c r="AE48" s="10"/>
      <c r="AF48" s="10"/>
      <c r="AG48" s="10"/>
      <c r="AH48" s="28"/>
      <c r="AI48" s="8"/>
      <c r="AJ48" s="10"/>
      <c r="AK48" s="10"/>
      <c r="AL48" s="10"/>
      <c r="AM48" s="10"/>
    </row>
    <row r="49" customFormat="false" ht="21.75" hidden="false" customHeight="true" outlineLevel="0" collapsed="false">
      <c r="A49" s="21" t="n">
        <v>46</v>
      </c>
      <c r="B49" s="22"/>
      <c r="C49" s="8"/>
      <c r="D49" s="8"/>
      <c r="E49" s="8"/>
      <c r="F49" s="29"/>
      <c r="G49" s="29"/>
      <c r="H49" s="8"/>
      <c r="I49" s="8"/>
      <c r="J49" s="29"/>
      <c r="K49" s="23"/>
      <c r="L49" s="23"/>
      <c r="M49" s="29"/>
      <c r="N49" s="24" t="str">
        <f aca="false">IF(AND(L49&lt;&gt;"",K49&lt;&gt;""),L49-K49,"")</f>
        <v/>
      </c>
      <c r="O49" s="24" t="str">
        <f aca="false">IF(AND(N49&lt;&gt;"",M49&lt;&gt;""),N49-M49,"")</f>
        <v/>
      </c>
      <c r="P49" s="25"/>
      <c r="Q49" s="30"/>
      <c r="R49" s="29"/>
      <c r="S49" s="30"/>
      <c r="T49" s="30"/>
      <c r="U49" s="8"/>
      <c r="V49" s="8"/>
      <c r="W49" s="8"/>
      <c r="X49" s="27"/>
      <c r="Y49" s="31"/>
      <c r="Z49" s="31"/>
      <c r="AA49" s="31"/>
      <c r="AB49" s="31"/>
      <c r="AC49" s="31"/>
      <c r="AD49" s="29"/>
      <c r="AE49" s="29"/>
      <c r="AF49" s="29"/>
      <c r="AG49" s="29"/>
      <c r="AH49" s="31"/>
      <c r="AI49" s="8"/>
      <c r="AJ49" s="29"/>
      <c r="AK49" s="29"/>
      <c r="AL49" s="29"/>
      <c r="AM49" s="29"/>
    </row>
    <row r="50" customFormat="false" ht="21.75" hidden="false" customHeight="true" outlineLevel="0" collapsed="false">
      <c r="A50" s="21" t="n">
        <v>47</v>
      </c>
      <c r="B50" s="22"/>
      <c r="C50" s="8"/>
      <c r="D50" s="8"/>
      <c r="E50" s="8"/>
      <c r="F50" s="10"/>
      <c r="G50" s="10"/>
      <c r="H50" s="8"/>
      <c r="I50" s="8"/>
      <c r="J50" s="10"/>
      <c r="K50" s="23"/>
      <c r="L50" s="23"/>
      <c r="M50" s="10"/>
      <c r="N50" s="24" t="str">
        <f aca="false">IF(AND(L50&lt;&gt;"",K50&lt;&gt;""),L50-K50,"")</f>
        <v/>
      </c>
      <c r="O50" s="24" t="str">
        <f aca="false">IF(AND(N50&lt;&gt;"",M50&lt;&gt;""),N50-M50,"")</f>
        <v/>
      </c>
      <c r="P50" s="25"/>
      <c r="Q50" s="26"/>
      <c r="R50" s="10"/>
      <c r="S50" s="26"/>
      <c r="T50" s="26"/>
      <c r="U50" s="8"/>
      <c r="V50" s="8"/>
      <c r="W50" s="8"/>
      <c r="X50" s="27"/>
      <c r="Y50" s="28"/>
      <c r="Z50" s="28"/>
      <c r="AA50" s="28"/>
      <c r="AB50" s="28"/>
      <c r="AC50" s="28"/>
      <c r="AD50" s="10"/>
      <c r="AE50" s="10"/>
      <c r="AF50" s="10"/>
      <c r="AG50" s="10"/>
      <c r="AH50" s="28"/>
      <c r="AI50" s="8"/>
      <c r="AJ50" s="10"/>
      <c r="AK50" s="10"/>
      <c r="AL50" s="10"/>
      <c r="AM50" s="10"/>
    </row>
    <row r="51" customFormat="false" ht="21.75" hidden="false" customHeight="true" outlineLevel="0" collapsed="false">
      <c r="A51" s="21" t="n">
        <v>48</v>
      </c>
      <c r="B51" s="22"/>
      <c r="C51" s="8"/>
      <c r="D51" s="8"/>
      <c r="E51" s="8"/>
      <c r="F51" s="29"/>
      <c r="G51" s="29"/>
      <c r="H51" s="8"/>
      <c r="I51" s="8"/>
      <c r="J51" s="29"/>
      <c r="K51" s="23"/>
      <c r="L51" s="23"/>
      <c r="M51" s="29"/>
      <c r="N51" s="24" t="str">
        <f aca="false">IF(AND(L51&lt;&gt;"",K51&lt;&gt;""),L51-K51,"")</f>
        <v/>
      </c>
      <c r="O51" s="24" t="str">
        <f aca="false">IF(AND(N51&lt;&gt;"",M51&lt;&gt;""),N51-M51,"")</f>
        <v/>
      </c>
      <c r="P51" s="25"/>
      <c r="Q51" s="30"/>
      <c r="R51" s="29"/>
      <c r="S51" s="30"/>
      <c r="T51" s="30"/>
      <c r="U51" s="8"/>
      <c r="V51" s="8"/>
      <c r="W51" s="8"/>
      <c r="X51" s="27"/>
      <c r="Y51" s="31"/>
      <c r="Z51" s="31"/>
      <c r="AA51" s="31"/>
      <c r="AB51" s="31"/>
      <c r="AC51" s="31"/>
      <c r="AD51" s="29"/>
      <c r="AE51" s="29"/>
      <c r="AF51" s="29"/>
      <c r="AG51" s="29"/>
      <c r="AH51" s="31"/>
      <c r="AI51" s="8"/>
      <c r="AJ51" s="29"/>
      <c r="AK51" s="29"/>
      <c r="AL51" s="29"/>
      <c r="AM51" s="29"/>
    </row>
    <row r="52" customFormat="false" ht="21.75" hidden="false" customHeight="true" outlineLevel="0" collapsed="false">
      <c r="A52" s="21" t="n">
        <v>49</v>
      </c>
      <c r="B52" s="22"/>
      <c r="C52" s="8"/>
      <c r="D52" s="8"/>
      <c r="E52" s="8"/>
      <c r="F52" s="10"/>
      <c r="G52" s="10"/>
      <c r="H52" s="8"/>
      <c r="I52" s="8"/>
      <c r="J52" s="10"/>
      <c r="K52" s="23"/>
      <c r="L52" s="23"/>
      <c r="M52" s="10"/>
      <c r="N52" s="24" t="str">
        <f aca="false">IF(AND(L52&lt;&gt;"",K52&lt;&gt;""),L52-K52,"")</f>
        <v/>
      </c>
      <c r="O52" s="24" t="str">
        <f aca="false">IF(AND(N52&lt;&gt;"",M52&lt;&gt;""),N52-M52,"")</f>
        <v/>
      </c>
      <c r="P52" s="25"/>
      <c r="Q52" s="26"/>
      <c r="R52" s="10"/>
      <c r="S52" s="26"/>
      <c r="T52" s="26"/>
      <c r="U52" s="8"/>
      <c r="V52" s="8"/>
      <c r="W52" s="8"/>
      <c r="X52" s="27"/>
      <c r="Y52" s="28"/>
      <c r="Z52" s="28"/>
      <c r="AA52" s="28"/>
      <c r="AB52" s="28"/>
      <c r="AC52" s="28"/>
      <c r="AD52" s="10"/>
      <c r="AE52" s="10"/>
      <c r="AF52" s="10"/>
      <c r="AG52" s="10"/>
      <c r="AH52" s="28"/>
      <c r="AI52" s="8"/>
      <c r="AJ52" s="10"/>
      <c r="AK52" s="10"/>
      <c r="AL52" s="10"/>
      <c r="AM52" s="10"/>
    </row>
    <row r="53" customFormat="false" ht="21.75" hidden="false" customHeight="true" outlineLevel="0" collapsed="false">
      <c r="A53" s="21" t="n">
        <v>50</v>
      </c>
      <c r="B53" s="22"/>
      <c r="C53" s="8"/>
      <c r="D53" s="8"/>
      <c r="E53" s="8"/>
      <c r="F53" s="29"/>
      <c r="G53" s="29"/>
      <c r="H53" s="8"/>
      <c r="I53" s="8"/>
      <c r="J53" s="29"/>
      <c r="K53" s="23"/>
      <c r="L53" s="23"/>
      <c r="M53" s="29"/>
      <c r="N53" s="24" t="str">
        <f aca="false">IF(AND(L53&lt;&gt;"",K53&lt;&gt;""),L53-K53,"")</f>
        <v/>
      </c>
      <c r="O53" s="24" t="str">
        <f aca="false">IF(AND(N53&lt;&gt;"",M53&lt;&gt;""),N53-M53,"")</f>
        <v/>
      </c>
      <c r="P53" s="25"/>
      <c r="Q53" s="30"/>
      <c r="R53" s="29"/>
      <c r="S53" s="30"/>
      <c r="T53" s="30"/>
      <c r="U53" s="8"/>
      <c r="V53" s="8"/>
      <c r="W53" s="8"/>
      <c r="X53" s="27"/>
      <c r="Y53" s="31"/>
      <c r="Z53" s="31"/>
      <c r="AA53" s="31"/>
      <c r="AB53" s="31"/>
      <c r="AC53" s="31"/>
      <c r="AD53" s="29"/>
      <c r="AE53" s="29"/>
      <c r="AF53" s="29"/>
      <c r="AG53" s="29"/>
      <c r="AH53" s="31"/>
      <c r="AI53" s="8"/>
      <c r="AJ53" s="29"/>
      <c r="AK53" s="29"/>
      <c r="AL53" s="29"/>
      <c r="AM53" s="29"/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D1"/>
    <mergeCell ref="E1:G1"/>
    <mergeCell ref="H1:J1"/>
    <mergeCell ref="K1:O1"/>
    <mergeCell ref="P1:T1"/>
    <mergeCell ref="U1:W1"/>
    <mergeCell ref="X1:AC1"/>
    <mergeCell ref="AD1:AH1"/>
    <mergeCell ref="AI1:AM1"/>
  </mergeCells>
  <dataValidations count="4">
    <dataValidation allowBlank="true" errorStyle="stop" operator="between" showDropDown="false" showErrorMessage="false" showInputMessage="false" sqref="AI4:AI53 AL4:AL53" type="list">
      <formula1>"YES,NO"</formula1>
      <formula2>0</formula2>
    </dataValidation>
    <dataValidation allowBlank="true" errorStyle="stop" operator="between" showDropDown="false" showErrorMessage="false" showInputMessage="false" sqref="AK4:AK53" type="list">
      <formula1>"EXCELLENT,GOOD,AVERAGE,POOR"</formula1>
      <formula2>0</formula2>
    </dataValidation>
    <dataValidation allowBlank="true" errorStyle="stop" operator="between" showDropDown="false" showErrorMessage="false" showInputMessage="false" sqref="J4:J53" type="list">
      <formula1>"India,Oman,UAE,Saudi Arabia,Other"</formula1>
      <formula2>0</formula2>
    </dataValidation>
    <dataValidation allowBlank="true" errorStyle="stop" operator="between" showDropDown="false" showErrorMessage="false" showInputMessage="false" sqref="E4:E53" type="list">
      <formula1>"REFRACTORY,STRUCTURAL,MECHANICAL,ELECTRICAL,CIVIL,EPC_TURNKEY,O&amp;M,OTHER"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A5F"/>
    <pageSetUpPr fitToPage="false"/>
  </sheetPr>
  <dimension ref="A1: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8" min="15" style="0" width="14"/>
    <col collapsed="false" customWidth="true" hidden="false" outlineLevel="0" max="21" min="19" style="0" width="16"/>
    <col collapsed="false" customWidth="true" hidden="false" outlineLevel="0" max="22" min="22" style="0" width="14"/>
    <col collapsed="false" customWidth="true" hidden="false" outlineLevel="0" max="26" min="23" style="0" width="8.71"/>
  </cols>
  <sheetData>
    <row r="1" customFormat="false" ht="30" hidden="false" customHeight="true" outlineLevel="0" collapsed="false">
      <c r="A1" s="32" t="s">
        <v>181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customFormat="false" ht="45.75" hidden="false" customHeight="true" outlineLevel="0" collapsed="false">
      <c r="A2" s="33" t="s">
        <v>36</v>
      </c>
      <c r="B2" s="33" t="s">
        <v>37</v>
      </c>
      <c r="C2" s="33" t="s">
        <v>182</v>
      </c>
      <c r="D2" s="33" t="s">
        <v>183</v>
      </c>
      <c r="E2" s="33" t="s">
        <v>184</v>
      </c>
      <c r="F2" s="33" t="s">
        <v>185</v>
      </c>
      <c r="G2" s="33" t="s">
        <v>186</v>
      </c>
      <c r="H2" s="33" t="s">
        <v>187</v>
      </c>
      <c r="I2" s="33" t="s">
        <v>188</v>
      </c>
      <c r="J2" s="33" t="s">
        <v>189</v>
      </c>
      <c r="K2" s="33" t="s">
        <v>190</v>
      </c>
      <c r="L2" s="33" t="s">
        <v>191</v>
      </c>
      <c r="M2" s="33" t="s">
        <v>192</v>
      </c>
      <c r="N2" s="33" t="s">
        <v>193</v>
      </c>
      <c r="O2" s="33" t="s">
        <v>194</v>
      </c>
      <c r="P2" s="33" t="s">
        <v>195</v>
      </c>
      <c r="Q2" s="33" t="s">
        <v>196</v>
      </c>
      <c r="R2" s="33" t="s">
        <v>197</v>
      </c>
      <c r="S2" s="33" t="s">
        <v>198</v>
      </c>
      <c r="T2" s="33" t="s">
        <v>199</v>
      </c>
      <c r="U2" s="33" t="s">
        <v>200</v>
      </c>
      <c r="V2" s="33" t="s">
        <v>201</v>
      </c>
    </row>
    <row r="3" customFormat="false" ht="31.5" hidden="false" customHeight="true" outlineLevel="0" collapsed="false">
      <c r="A3" s="20" t="s">
        <v>202</v>
      </c>
      <c r="B3" s="20" t="s">
        <v>203</v>
      </c>
      <c r="C3" s="20" t="s">
        <v>182</v>
      </c>
      <c r="D3" s="20" t="s">
        <v>183</v>
      </c>
      <c r="E3" s="20" t="s">
        <v>204</v>
      </c>
      <c r="F3" s="20" t="s">
        <v>205</v>
      </c>
      <c r="G3" s="20" t="s">
        <v>206</v>
      </c>
      <c r="H3" s="20" t="s">
        <v>207</v>
      </c>
      <c r="I3" s="20" t="s">
        <v>208</v>
      </c>
      <c r="J3" s="20" t="s">
        <v>209</v>
      </c>
      <c r="K3" s="20" t="s">
        <v>210</v>
      </c>
      <c r="L3" s="20" t="s">
        <v>211</v>
      </c>
      <c r="M3" s="20" t="s">
        <v>212</v>
      </c>
      <c r="N3" s="20" t="s">
        <v>213</v>
      </c>
      <c r="O3" s="20" t="s">
        <v>214</v>
      </c>
      <c r="P3" s="20" t="s">
        <v>215</v>
      </c>
      <c r="Q3" s="20" t="s">
        <v>216</v>
      </c>
      <c r="R3" s="20" t="s">
        <v>217</v>
      </c>
      <c r="S3" s="20" t="s">
        <v>218</v>
      </c>
      <c r="T3" s="20" t="s">
        <v>219</v>
      </c>
      <c r="U3" s="20" t="s">
        <v>220</v>
      </c>
      <c r="V3" s="20" t="s">
        <v>221</v>
      </c>
    </row>
    <row r="4" customFormat="false" ht="21.75" hidden="false" customHeight="true" outlineLevel="0" collapsed="false">
      <c r="A4" s="21" t="n">
        <v>1</v>
      </c>
      <c r="B4" s="8" t="s">
        <v>114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5" t="n">
        <f aca="false">SUM(C4:S4)</f>
        <v>0</v>
      </c>
      <c r="U4" s="35" t="n">
        <f aca="false">SUM(P4:S4)</f>
        <v>0</v>
      </c>
      <c r="V4" s="36" t="n">
        <f aca="false">T4+U4</f>
        <v>0</v>
      </c>
    </row>
    <row r="5" customFormat="false" ht="21.75" hidden="false" customHeight="true" outlineLevel="0" collapsed="false">
      <c r="A5" s="21" t="n">
        <v>2</v>
      </c>
      <c r="B5" s="8" t="s">
        <v>127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5" t="n">
        <f aca="false">SUM(C5:S5)</f>
        <v>0</v>
      </c>
      <c r="U5" s="35" t="n">
        <f aca="false">SUM(P5:S5)</f>
        <v>0</v>
      </c>
      <c r="V5" s="36" t="n">
        <f aca="false">T5+U5</f>
        <v>0</v>
      </c>
    </row>
    <row r="6" customFormat="false" ht="21.75" hidden="false" customHeight="true" outlineLevel="0" collapsed="false">
      <c r="A6" s="21" t="n">
        <v>3</v>
      </c>
      <c r="B6" s="8" t="s">
        <v>131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 t="n">
        <f aca="false">SUM(C6:S6)</f>
        <v>0</v>
      </c>
      <c r="U6" s="35" t="n">
        <f aca="false">SUM(P6:S6)</f>
        <v>0</v>
      </c>
      <c r="V6" s="36" t="n">
        <f aca="false">T6+U6</f>
        <v>0</v>
      </c>
    </row>
    <row r="7" customFormat="false" ht="21.75" hidden="false" customHeight="true" outlineLevel="0" collapsed="false">
      <c r="A7" s="21" t="n">
        <v>4</v>
      </c>
      <c r="B7" s="8" t="s">
        <v>137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5" t="n">
        <f aca="false">SUM(C7:S7)</f>
        <v>0</v>
      </c>
      <c r="U7" s="35" t="n">
        <f aca="false">SUM(P7:S7)</f>
        <v>0</v>
      </c>
      <c r="V7" s="36" t="n">
        <f aca="false">T7+U7</f>
        <v>0</v>
      </c>
    </row>
    <row r="8" customFormat="false" ht="21.75" hidden="false" customHeight="true" outlineLevel="0" collapsed="false">
      <c r="A8" s="21" t="n">
        <v>5</v>
      </c>
      <c r="B8" s="8" t="s">
        <v>141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 t="n">
        <f aca="false">SUM(C8:S8)</f>
        <v>0</v>
      </c>
      <c r="U8" s="35" t="n">
        <f aca="false">SUM(P8:S8)</f>
        <v>0</v>
      </c>
      <c r="V8" s="36" t="n">
        <f aca="false">T8+U8</f>
        <v>0</v>
      </c>
    </row>
    <row r="9" customFormat="false" ht="21.75" hidden="false" customHeight="true" outlineLevel="0" collapsed="false">
      <c r="A9" s="21" t="n">
        <v>6</v>
      </c>
      <c r="B9" s="8" t="s">
        <v>147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5" t="n">
        <f aca="false">SUM(C9:S9)</f>
        <v>0</v>
      </c>
      <c r="U9" s="35" t="n">
        <f aca="false">SUM(P9:S9)</f>
        <v>0</v>
      </c>
      <c r="V9" s="36" t="n">
        <f aca="false">T9+U9</f>
        <v>0</v>
      </c>
    </row>
    <row r="10" customFormat="false" ht="21.75" hidden="false" customHeight="true" outlineLevel="0" collapsed="false">
      <c r="A10" s="21" t="n">
        <v>7</v>
      </c>
      <c r="B10" s="8" t="s">
        <v>149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5" t="n">
        <f aca="false">SUM(C10:S10)</f>
        <v>0</v>
      </c>
      <c r="U10" s="35" t="n">
        <f aca="false">SUM(P10:S10)</f>
        <v>0</v>
      </c>
      <c r="V10" s="36" t="n">
        <f aca="false">T10+U10</f>
        <v>0</v>
      </c>
    </row>
    <row r="11" customFormat="false" ht="21.75" hidden="false" customHeight="true" outlineLevel="0" collapsed="false">
      <c r="A11" s="21" t="n">
        <v>8</v>
      </c>
      <c r="B11" s="8" t="s">
        <v>152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5" t="n">
        <f aca="false">SUM(C11:S11)</f>
        <v>0</v>
      </c>
      <c r="U11" s="35" t="n">
        <f aca="false">SUM(P11:S11)</f>
        <v>0</v>
      </c>
      <c r="V11" s="36" t="n">
        <f aca="false">T11+U11</f>
        <v>0</v>
      </c>
    </row>
    <row r="12" customFormat="false" ht="21.75" hidden="false" customHeight="true" outlineLevel="0" collapsed="false">
      <c r="A12" s="21" t="n">
        <v>9</v>
      </c>
      <c r="B12" s="8" t="s">
        <v>157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 t="n">
        <f aca="false">SUM(C12:S12)</f>
        <v>0</v>
      </c>
      <c r="U12" s="35" t="n">
        <f aca="false">SUM(P12:S12)</f>
        <v>0</v>
      </c>
      <c r="V12" s="36" t="n">
        <f aca="false">T12+U12</f>
        <v>0</v>
      </c>
    </row>
    <row r="13" customFormat="false" ht="21.75" hidden="false" customHeight="true" outlineLevel="0" collapsed="false">
      <c r="A13" s="21" t="n">
        <v>10</v>
      </c>
      <c r="B13" s="8" t="s">
        <v>160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5" t="n">
        <f aca="false">SUM(C13:S13)</f>
        <v>0</v>
      </c>
      <c r="U13" s="35" t="n">
        <f aca="false">SUM(P13:S13)</f>
        <v>0</v>
      </c>
      <c r="V13" s="36" t="n">
        <f aca="false">T13+U13</f>
        <v>0</v>
      </c>
    </row>
    <row r="14" customFormat="false" ht="21.75" hidden="false" customHeight="true" outlineLevel="0" collapsed="false">
      <c r="A14" s="21" t="n">
        <v>11</v>
      </c>
      <c r="B14" s="8" t="s">
        <v>164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 t="n">
        <f aca="false">SUM(C14:S14)</f>
        <v>0</v>
      </c>
      <c r="U14" s="35" t="n">
        <f aca="false">SUM(P14:S14)</f>
        <v>0</v>
      </c>
      <c r="V14" s="36" t="n">
        <f aca="false">T14+U14</f>
        <v>0</v>
      </c>
    </row>
    <row r="15" customFormat="false" ht="21.75" hidden="false" customHeight="true" outlineLevel="0" collapsed="false">
      <c r="A15" s="21" t="n">
        <v>12</v>
      </c>
      <c r="B15" s="8" t="s">
        <v>168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5" t="n">
        <f aca="false">SUM(C15:S15)</f>
        <v>0</v>
      </c>
      <c r="U15" s="35" t="n">
        <f aca="false">SUM(P15:S15)</f>
        <v>0</v>
      </c>
      <c r="V15" s="36" t="n">
        <f aca="false">T15+U15</f>
        <v>0</v>
      </c>
    </row>
    <row r="16" customFormat="false" ht="21.75" hidden="false" customHeight="true" outlineLevel="0" collapsed="false">
      <c r="A16" s="21" t="n">
        <v>13</v>
      </c>
      <c r="B16" s="8" t="s">
        <v>174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 t="n">
        <f aca="false">SUM(C16:S16)</f>
        <v>0</v>
      </c>
      <c r="U16" s="35" t="n">
        <f aca="false">SUM(P16:S16)</f>
        <v>0</v>
      </c>
      <c r="V16" s="36" t="n">
        <f aca="false">T16+U16</f>
        <v>0</v>
      </c>
    </row>
    <row r="17" customFormat="false" ht="21.75" hidden="false" customHeight="true" outlineLevel="0" collapsed="false">
      <c r="A17" s="21" t="n">
        <v>14</v>
      </c>
      <c r="B17" s="8" t="s">
        <v>178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5" t="n">
        <f aca="false">SUM(C17:S17)</f>
        <v>0</v>
      </c>
      <c r="U17" s="35" t="n">
        <f aca="false">SUM(P17:S17)</f>
        <v>0</v>
      </c>
      <c r="V17" s="36" t="n">
        <f aca="false">T17+U17</f>
        <v>0</v>
      </c>
    </row>
    <row r="18" customFormat="false" ht="21.75" hidden="false" customHeight="true" outlineLevel="0" collapsed="false">
      <c r="A18" s="21" t="n">
        <v>15</v>
      </c>
      <c r="B18" s="8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 t="n">
        <f aca="false">SUM(C18:S18)</f>
        <v>0</v>
      </c>
      <c r="U18" s="35" t="n">
        <f aca="false">SUM(P18:S18)</f>
        <v>0</v>
      </c>
      <c r="V18" s="36" t="n">
        <f aca="false">T18+U18</f>
        <v>0</v>
      </c>
    </row>
    <row r="19" customFormat="false" ht="21.75" hidden="false" customHeight="true" outlineLevel="0" collapsed="false">
      <c r="A19" s="21" t="n">
        <v>16</v>
      </c>
      <c r="B19" s="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5" t="n">
        <f aca="false">SUM(C19:S19)</f>
        <v>0</v>
      </c>
      <c r="U19" s="35" t="n">
        <f aca="false">SUM(P19:S19)</f>
        <v>0</v>
      </c>
      <c r="V19" s="36" t="n">
        <f aca="false">T19+U19</f>
        <v>0</v>
      </c>
    </row>
    <row r="20" customFormat="false" ht="21.75" hidden="false" customHeight="true" outlineLevel="0" collapsed="false">
      <c r="A20" s="21" t="n">
        <v>17</v>
      </c>
      <c r="B20" s="8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 t="n">
        <f aca="false">SUM(C20:S20)</f>
        <v>0</v>
      </c>
      <c r="U20" s="35" t="n">
        <f aca="false">SUM(P20:S20)</f>
        <v>0</v>
      </c>
      <c r="V20" s="36" t="n">
        <f aca="false">T20+U20</f>
        <v>0</v>
      </c>
    </row>
    <row r="21" customFormat="false" ht="21.75" hidden="false" customHeight="true" outlineLevel="0" collapsed="false">
      <c r="A21" s="21" t="n">
        <v>18</v>
      </c>
      <c r="B21" s="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5" t="n">
        <f aca="false">SUM(C21:S21)</f>
        <v>0</v>
      </c>
      <c r="U21" s="35" t="n">
        <f aca="false">SUM(P21:S21)</f>
        <v>0</v>
      </c>
      <c r="V21" s="36" t="n">
        <f aca="false">T21+U21</f>
        <v>0</v>
      </c>
    </row>
    <row r="22" customFormat="false" ht="21.75" hidden="false" customHeight="true" outlineLevel="0" collapsed="false">
      <c r="A22" s="21" t="n">
        <v>19</v>
      </c>
      <c r="B22" s="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 t="n">
        <f aca="false">SUM(C22:S22)</f>
        <v>0</v>
      </c>
      <c r="U22" s="35" t="n">
        <f aca="false">SUM(P22:S22)</f>
        <v>0</v>
      </c>
      <c r="V22" s="36" t="n">
        <f aca="false">T22+U22</f>
        <v>0</v>
      </c>
    </row>
    <row r="23" customFormat="false" ht="21.75" hidden="false" customHeight="true" outlineLevel="0" collapsed="false">
      <c r="A23" s="21" t="n">
        <v>20</v>
      </c>
      <c r="B23" s="8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5" t="n">
        <f aca="false">SUM(C23:S23)</f>
        <v>0</v>
      </c>
      <c r="U23" s="35" t="n">
        <f aca="false">SUM(P23:S23)</f>
        <v>0</v>
      </c>
      <c r="V23" s="36" t="n">
        <f aca="false">T23+U23</f>
        <v>0</v>
      </c>
    </row>
    <row r="24" customFormat="false" ht="21.75" hidden="false" customHeight="true" outlineLevel="0" collapsed="false">
      <c r="A24" s="21" t="n">
        <v>21</v>
      </c>
      <c r="B24" s="8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 t="n">
        <f aca="false">SUM(C24:S24)</f>
        <v>0</v>
      </c>
      <c r="U24" s="35" t="n">
        <f aca="false">SUM(P24:S24)</f>
        <v>0</v>
      </c>
      <c r="V24" s="36" t="n">
        <f aca="false">T24+U24</f>
        <v>0</v>
      </c>
    </row>
    <row r="25" customFormat="false" ht="21.75" hidden="false" customHeight="true" outlineLevel="0" collapsed="false">
      <c r="A25" s="21" t="n">
        <v>22</v>
      </c>
      <c r="B25" s="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5" t="n">
        <f aca="false">SUM(C25:S25)</f>
        <v>0</v>
      </c>
      <c r="U25" s="35" t="n">
        <f aca="false">SUM(P25:S25)</f>
        <v>0</v>
      </c>
      <c r="V25" s="36" t="n">
        <f aca="false">T25+U25</f>
        <v>0</v>
      </c>
    </row>
    <row r="26" customFormat="false" ht="21.75" hidden="false" customHeight="true" outlineLevel="0" collapsed="false">
      <c r="A26" s="21" t="n">
        <v>23</v>
      </c>
      <c r="B26" s="8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 t="n">
        <f aca="false">SUM(C26:S26)</f>
        <v>0</v>
      </c>
      <c r="U26" s="35" t="n">
        <f aca="false">SUM(P26:S26)</f>
        <v>0</v>
      </c>
      <c r="V26" s="36" t="n">
        <f aca="false">T26+U26</f>
        <v>0</v>
      </c>
    </row>
    <row r="27" customFormat="false" ht="21.75" hidden="false" customHeight="true" outlineLevel="0" collapsed="false">
      <c r="A27" s="21" t="n">
        <v>24</v>
      </c>
      <c r="B27" s="8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5" t="n">
        <f aca="false">SUM(C27:S27)</f>
        <v>0</v>
      </c>
      <c r="U27" s="35" t="n">
        <f aca="false">SUM(P27:S27)</f>
        <v>0</v>
      </c>
      <c r="V27" s="36" t="n">
        <f aca="false">T27+U27</f>
        <v>0</v>
      </c>
    </row>
    <row r="28" customFormat="false" ht="21.75" hidden="false" customHeight="true" outlineLevel="0" collapsed="false">
      <c r="A28" s="21" t="n">
        <v>25</v>
      </c>
      <c r="B28" s="8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 t="n">
        <f aca="false">SUM(C28:S28)</f>
        <v>0</v>
      </c>
      <c r="U28" s="35" t="n">
        <f aca="false">SUM(P28:S28)</f>
        <v>0</v>
      </c>
      <c r="V28" s="36" t="n">
        <f aca="false">T28+U28</f>
        <v>0</v>
      </c>
    </row>
    <row r="29" customFormat="false" ht="21.75" hidden="false" customHeight="true" outlineLevel="0" collapsed="false">
      <c r="A29" s="21" t="n">
        <v>26</v>
      </c>
      <c r="B29" s="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5" t="n">
        <f aca="false">SUM(C29:S29)</f>
        <v>0</v>
      </c>
      <c r="U29" s="35" t="n">
        <f aca="false">SUM(P29:S29)</f>
        <v>0</v>
      </c>
      <c r="V29" s="36" t="n">
        <f aca="false">T29+U29</f>
        <v>0</v>
      </c>
    </row>
    <row r="30" customFormat="false" ht="21.75" hidden="false" customHeight="true" outlineLevel="0" collapsed="false">
      <c r="A30" s="21" t="n">
        <v>27</v>
      </c>
      <c r="B30" s="8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 t="n">
        <f aca="false">SUM(C30:S30)</f>
        <v>0</v>
      </c>
      <c r="U30" s="35" t="n">
        <f aca="false">SUM(P30:S30)</f>
        <v>0</v>
      </c>
      <c r="V30" s="36" t="n">
        <f aca="false">T30+U30</f>
        <v>0</v>
      </c>
    </row>
    <row r="31" customFormat="false" ht="21.75" hidden="false" customHeight="true" outlineLevel="0" collapsed="false">
      <c r="A31" s="21" t="n">
        <v>28</v>
      </c>
      <c r="B31" s="8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5" t="n">
        <f aca="false">SUM(C31:S31)</f>
        <v>0</v>
      </c>
      <c r="U31" s="35" t="n">
        <f aca="false">SUM(P31:S31)</f>
        <v>0</v>
      </c>
      <c r="V31" s="36" t="n">
        <f aca="false">T31+U31</f>
        <v>0</v>
      </c>
    </row>
    <row r="32" customFormat="false" ht="21.75" hidden="false" customHeight="true" outlineLevel="0" collapsed="false">
      <c r="A32" s="21" t="n">
        <v>29</v>
      </c>
      <c r="B32" s="8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 t="n">
        <f aca="false">SUM(C32:S32)</f>
        <v>0</v>
      </c>
      <c r="U32" s="35" t="n">
        <f aca="false">SUM(P32:S32)</f>
        <v>0</v>
      </c>
      <c r="V32" s="36" t="n">
        <f aca="false">T32+U32</f>
        <v>0</v>
      </c>
    </row>
    <row r="33" customFormat="false" ht="21.75" hidden="false" customHeight="true" outlineLevel="0" collapsed="false">
      <c r="A33" s="21" t="n">
        <v>30</v>
      </c>
      <c r="B33" s="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5" t="n">
        <f aca="false">SUM(C33:S33)</f>
        <v>0</v>
      </c>
      <c r="U33" s="35" t="n">
        <f aca="false">SUM(P33:S33)</f>
        <v>0</v>
      </c>
      <c r="V33" s="36" t="n">
        <f aca="false">T33+U33</f>
        <v>0</v>
      </c>
    </row>
    <row r="34" customFormat="false" ht="21.75" hidden="false" customHeight="true" outlineLevel="0" collapsed="false">
      <c r="A34" s="21" t="n">
        <v>31</v>
      </c>
      <c r="B34" s="8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 t="n">
        <f aca="false">SUM(C34:S34)</f>
        <v>0</v>
      </c>
      <c r="U34" s="35" t="n">
        <f aca="false">SUM(P34:S34)</f>
        <v>0</v>
      </c>
      <c r="V34" s="36" t="n">
        <f aca="false">T34+U34</f>
        <v>0</v>
      </c>
    </row>
    <row r="35" customFormat="false" ht="21.75" hidden="false" customHeight="true" outlineLevel="0" collapsed="false">
      <c r="A35" s="21" t="n">
        <v>32</v>
      </c>
      <c r="B35" s="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5" t="n">
        <f aca="false">SUM(C35:S35)</f>
        <v>0</v>
      </c>
      <c r="U35" s="35" t="n">
        <f aca="false">SUM(P35:S35)</f>
        <v>0</v>
      </c>
      <c r="V35" s="36" t="n">
        <f aca="false">T35+U35</f>
        <v>0</v>
      </c>
    </row>
    <row r="36" customFormat="false" ht="21.75" hidden="false" customHeight="true" outlineLevel="0" collapsed="false">
      <c r="A36" s="21" t="n">
        <v>33</v>
      </c>
      <c r="B36" s="8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 t="n">
        <f aca="false">SUM(C36:S36)</f>
        <v>0</v>
      </c>
      <c r="U36" s="35" t="n">
        <f aca="false">SUM(P36:S36)</f>
        <v>0</v>
      </c>
      <c r="V36" s="36" t="n">
        <f aca="false">T36+U36</f>
        <v>0</v>
      </c>
    </row>
    <row r="37" customFormat="false" ht="21.75" hidden="false" customHeight="true" outlineLevel="0" collapsed="false">
      <c r="A37" s="21" t="n">
        <v>34</v>
      </c>
      <c r="B37" s="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5" t="n">
        <f aca="false">SUM(C37:S37)</f>
        <v>0</v>
      </c>
      <c r="U37" s="35" t="n">
        <f aca="false">SUM(P37:S37)</f>
        <v>0</v>
      </c>
      <c r="V37" s="36" t="n">
        <f aca="false">T37+U37</f>
        <v>0</v>
      </c>
    </row>
    <row r="38" customFormat="false" ht="21.75" hidden="false" customHeight="true" outlineLevel="0" collapsed="false">
      <c r="A38" s="21" t="n">
        <v>35</v>
      </c>
      <c r="B38" s="8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 t="n">
        <f aca="false">SUM(C38:S38)</f>
        <v>0</v>
      </c>
      <c r="U38" s="35" t="n">
        <f aca="false">SUM(P38:S38)</f>
        <v>0</v>
      </c>
      <c r="V38" s="36" t="n">
        <f aca="false">T38+U38</f>
        <v>0</v>
      </c>
    </row>
    <row r="39" customFormat="false" ht="21.75" hidden="false" customHeight="true" outlineLevel="0" collapsed="false">
      <c r="A39" s="21" t="n">
        <v>36</v>
      </c>
      <c r="B39" s="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5" t="n">
        <f aca="false">SUM(C39:S39)</f>
        <v>0</v>
      </c>
      <c r="U39" s="35" t="n">
        <f aca="false">SUM(P39:S39)</f>
        <v>0</v>
      </c>
      <c r="V39" s="36" t="n">
        <f aca="false">T39+U39</f>
        <v>0</v>
      </c>
    </row>
    <row r="40" customFormat="false" ht="21.75" hidden="false" customHeight="true" outlineLevel="0" collapsed="false">
      <c r="A40" s="21" t="n">
        <v>37</v>
      </c>
      <c r="B40" s="8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 t="n">
        <f aca="false">SUM(C40:S40)</f>
        <v>0</v>
      </c>
      <c r="U40" s="35" t="n">
        <f aca="false">SUM(P40:S40)</f>
        <v>0</v>
      </c>
      <c r="V40" s="36" t="n">
        <f aca="false">T40+U40</f>
        <v>0</v>
      </c>
    </row>
    <row r="41" customFormat="false" ht="21.75" hidden="false" customHeight="true" outlineLevel="0" collapsed="false">
      <c r="A41" s="21" t="n">
        <v>38</v>
      </c>
      <c r="B41" s="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5" t="n">
        <f aca="false">SUM(C41:S41)</f>
        <v>0</v>
      </c>
      <c r="U41" s="35" t="n">
        <f aca="false">SUM(P41:S41)</f>
        <v>0</v>
      </c>
      <c r="V41" s="36" t="n">
        <f aca="false">T41+U41</f>
        <v>0</v>
      </c>
    </row>
    <row r="42" customFormat="false" ht="21.75" hidden="false" customHeight="true" outlineLevel="0" collapsed="false">
      <c r="A42" s="21" t="n">
        <v>39</v>
      </c>
      <c r="B42" s="8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 t="n">
        <f aca="false">SUM(C42:S42)</f>
        <v>0</v>
      </c>
      <c r="U42" s="35" t="n">
        <f aca="false">SUM(P42:S42)</f>
        <v>0</v>
      </c>
      <c r="V42" s="36" t="n">
        <f aca="false">T42+U42</f>
        <v>0</v>
      </c>
    </row>
    <row r="43" customFormat="false" ht="21.75" hidden="false" customHeight="true" outlineLevel="0" collapsed="false">
      <c r="A43" s="21" t="n">
        <v>40</v>
      </c>
      <c r="B43" s="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5" t="n">
        <f aca="false">SUM(C43:S43)</f>
        <v>0</v>
      </c>
      <c r="U43" s="35" t="n">
        <f aca="false">SUM(P43:S43)</f>
        <v>0</v>
      </c>
      <c r="V43" s="36" t="n">
        <f aca="false">T43+U43</f>
        <v>0</v>
      </c>
    </row>
    <row r="44" customFormat="false" ht="21.75" hidden="false" customHeight="true" outlineLevel="0" collapsed="false">
      <c r="A44" s="21" t="n">
        <v>41</v>
      </c>
      <c r="B44" s="8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 t="n">
        <f aca="false">SUM(C44:S44)</f>
        <v>0</v>
      </c>
      <c r="U44" s="35" t="n">
        <f aca="false">SUM(P44:S44)</f>
        <v>0</v>
      </c>
      <c r="V44" s="36" t="n">
        <f aca="false">T44+U44</f>
        <v>0</v>
      </c>
    </row>
    <row r="45" customFormat="false" ht="21.75" hidden="false" customHeight="true" outlineLevel="0" collapsed="false">
      <c r="A45" s="21" t="n">
        <v>42</v>
      </c>
      <c r="B45" s="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5" t="n">
        <f aca="false">SUM(C45:S45)</f>
        <v>0</v>
      </c>
      <c r="U45" s="35" t="n">
        <f aca="false">SUM(P45:S45)</f>
        <v>0</v>
      </c>
      <c r="V45" s="36" t="n">
        <f aca="false">T45+U45</f>
        <v>0</v>
      </c>
    </row>
    <row r="46" customFormat="false" ht="21.75" hidden="false" customHeight="true" outlineLevel="0" collapsed="false">
      <c r="A46" s="21" t="n">
        <v>43</v>
      </c>
      <c r="B46" s="8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 t="n">
        <f aca="false">SUM(C46:S46)</f>
        <v>0</v>
      </c>
      <c r="U46" s="35" t="n">
        <f aca="false">SUM(P46:S46)</f>
        <v>0</v>
      </c>
      <c r="V46" s="36" t="n">
        <f aca="false">T46+U46</f>
        <v>0</v>
      </c>
    </row>
    <row r="47" customFormat="false" ht="21.75" hidden="false" customHeight="true" outlineLevel="0" collapsed="false">
      <c r="A47" s="21" t="n">
        <v>44</v>
      </c>
      <c r="B47" s="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5" t="n">
        <f aca="false">SUM(C47:S47)</f>
        <v>0</v>
      </c>
      <c r="U47" s="35" t="n">
        <f aca="false">SUM(P47:S47)</f>
        <v>0</v>
      </c>
      <c r="V47" s="36" t="n">
        <f aca="false">T47+U47</f>
        <v>0</v>
      </c>
    </row>
    <row r="48" customFormat="false" ht="21.75" hidden="false" customHeight="true" outlineLevel="0" collapsed="false">
      <c r="A48" s="21" t="n">
        <v>45</v>
      </c>
      <c r="B48" s="8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 t="n">
        <f aca="false">SUM(C48:S48)</f>
        <v>0</v>
      </c>
      <c r="U48" s="35" t="n">
        <f aca="false">SUM(P48:S48)</f>
        <v>0</v>
      </c>
      <c r="V48" s="36" t="n">
        <f aca="false">T48+U48</f>
        <v>0</v>
      </c>
    </row>
    <row r="49" customFormat="false" ht="21.75" hidden="false" customHeight="true" outlineLevel="0" collapsed="false">
      <c r="A49" s="21" t="n">
        <v>46</v>
      </c>
      <c r="B49" s="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5" t="n">
        <f aca="false">SUM(C49:S49)</f>
        <v>0</v>
      </c>
      <c r="U49" s="35" t="n">
        <f aca="false">SUM(P49:S49)</f>
        <v>0</v>
      </c>
      <c r="V49" s="36" t="n">
        <f aca="false">T49+U49</f>
        <v>0</v>
      </c>
    </row>
    <row r="50" customFormat="false" ht="21.75" hidden="false" customHeight="true" outlineLevel="0" collapsed="false">
      <c r="A50" s="21" t="n">
        <v>47</v>
      </c>
      <c r="B50" s="8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 t="n">
        <f aca="false">SUM(C50:S50)</f>
        <v>0</v>
      </c>
      <c r="U50" s="35" t="n">
        <f aca="false">SUM(P50:S50)</f>
        <v>0</v>
      </c>
      <c r="V50" s="36" t="n">
        <f aca="false">T50+U50</f>
        <v>0</v>
      </c>
    </row>
    <row r="51" customFormat="false" ht="21.75" hidden="false" customHeight="true" outlineLevel="0" collapsed="false">
      <c r="A51" s="21" t="n">
        <v>48</v>
      </c>
      <c r="B51" s="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5" t="n">
        <f aca="false">SUM(C51:S51)</f>
        <v>0</v>
      </c>
      <c r="U51" s="35" t="n">
        <f aca="false">SUM(P51:S51)</f>
        <v>0</v>
      </c>
      <c r="V51" s="36" t="n">
        <f aca="false">T51+U51</f>
        <v>0</v>
      </c>
    </row>
    <row r="52" customFormat="false" ht="21.75" hidden="false" customHeight="true" outlineLevel="0" collapsed="false">
      <c r="A52" s="21" t="n">
        <v>49</v>
      </c>
      <c r="B52" s="8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 t="n">
        <f aca="false">SUM(C52:S52)</f>
        <v>0</v>
      </c>
      <c r="U52" s="35" t="n">
        <f aca="false">SUM(P52:S52)</f>
        <v>0</v>
      </c>
      <c r="V52" s="36" t="n">
        <f aca="false">T52+U52</f>
        <v>0</v>
      </c>
    </row>
    <row r="53" customFormat="false" ht="21.75" hidden="false" customHeight="true" outlineLevel="0" collapsed="false">
      <c r="A53" s="21" t="n">
        <v>50</v>
      </c>
      <c r="B53" s="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5" t="n">
        <f aca="false">SUM(C53:S53)</f>
        <v>0</v>
      </c>
      <c r="U53" s="35" t="n">
        <f aca="false">SUM(P53:S53)</f>
        <v>0</v>
      </c>
      <c r="V53" s="36" t="n">
        <f aca="false">T53+U53</f>
        <v>0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4" min="12" style="0" width="18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8" min="17" style="0" width="18"/>
    <col collapsed="false" customWidth="true" hidden="false" outlineLevel="0" max="19" min="19" style="0" width="36"/>
    <col collapsed="false" customWidth="true" hidden="false" outlineLevel="0" max="26" min="20" style="0" width="8.71"/>
  </cols>
  <sheetData>
    <row r="1" customFormat="false" ht="30" hidden="false" customHeight="true" outlineLevel="0" collapsed="false">
      <c r="A1" s="38" t="s">
        <v>222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customFormat="false" ht="45.75" hidden="false" customHeight="true" outlineLevel="0" collapsed="false">
      <c r="A2" s="39" t="s">
        <v>36</v>
      </c>
      <c r="B2" s="39" t="s">
        <v>37</v>
      </c>
      <c r="C2" s="39" t="s">
        <v>223</v>
      </c>
      <c r="D2" s="39" t="s">
        <v>224</v>
      </c>
      <c r="E2" s="39" t="s">
        <v>225</v>
      </c>
      <c r="F2" s="39" t="s">
        <v>226</v>
      </c>
      <c r="G2" s="39" t="s">
        <v>227</v>
      </c>
      <c r="H2" s="39" t="s">
        <v>228</v>
      </c>
      <c r="I2" s="39" t="s">
        <v>229</v>
      </c>
      <c r="J2" s="39" t="s">
        <v>230</v>
      </c>
      <c r="K2" s="39" t="s">
        <v>231</v>
      </c>
      <c r="L2" s="39" t="s">
        <v>232</v>
      </c>
      <c r="M2" s="39" t="s">
        <v>233</v>
      </c>
      <c r="N2" s="39" t="s">
        <v>234</v>
      </c>
      <c r="O2" s="39" t="s">
        <v>235</v>
      </c>
      <c r="P2" s="39" t="s">
        <v>236</v>
      </c>
      <c r="Q2" s="39" t="s">
        <v>237</v>
      </c>
      <c r="R2" s="39" t="s">
        <v>238</v>
      </c>
      <c r="S2" s="39" t="s">
        <v>239</v>
      </c>
    </row>
    <row r="3" customFormat="false" ht="21.75" hidden="false" customHeight="true" outlineLevel="0" collapsed="false">
      <c r="A3" s="21" t="n">
        <v>1</v>
      </c>
      <c r="B3" s="8" t="s">
        <v>114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5" t="n">
        <f aca="false">SUM(C3:Q3)</f>
        <v>0</v>
      </c>
      <c r="S3" s="12"/>
    </row>
    <row r="4" customFormat="false" ht="21.75" hidden="false" customHeight="true" outlineLevel="0" collapsed="false">
      <c r="A4" s="21" t="n">
        <v>2</v>
      </c>
      <c r="B4" s="8" t="s">
        <v>127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5" t="n">
        <f aca="false">SUM(C4:Q4)</f>
        <v>0</v>
      </c>
      <c r="S4" s="40"/>
    </row>
    <row r="5" customFormat="false" ht="21.75" hidden="false" customHeight="true" outlineLevel="0" collapsed="false">
      <c r="A5" s="21" t="n">
        <v>3</v>
      </c>
      <c r="B5" s="8" t="s">
        <v>131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5" t="n">
        <f aca="false">SUM(C5:Q5)</f>
        <v>0</v>
      </c>
      <c r="S5" s="12"/>
    </row>
    <row r="6" customFormat="false" ht="21.75" hidden="false" customHeight="true" outlineLevel="0" collapsed="false">
      <c r="A6" s="21" t="n">
        <v>4</v>
      </c>
      <c r="B6" s="8" t="s">
        <v>137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5" t="n">
        <f aca="false">SUM(C6:Q6)</f>
        <v>0</v>
      </c>
      <c r="S6" s="40"/>
    </row>
    <row r="7" customFormat="false" ht="21.75" hidden="false" customHeight="true" outlineLevel="0" collapsed="false">
      <c r="A7" s="21" t="n">
        <v>5</v>
      </c>
      <c r="B7" s="8" t="s">
        <v>141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5" t="n">
        <f aca="false">SUM(C7:Q7)</f>
        <v>0</v>
      </c>
      <c r="S7" s="12"/>
    </row>
    <row r="8" customFormat="false" ht="21.75" hidden="false" customHeight="true" outlineLevel="0" collapsed="false">
      <c r="A8" s="21" t="n">
        <v>6</v>
      </c>
      <c r="B8" s="8" t="s">
        <v>147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5" t="n">
        <f aca="false">SUM(C8:Q8)</f>
        <v>0</v>
      </c>
      <c r="S8" s="40"/>
    </row>
    <row r="9" customFormat="false" ht="21.75" hidden="false" customHeight="true" outlineLevel="0" collapsed="false">
      <c r="A9" s="21" t="n">
        <v>7</v>
      </c>
      <c r="B9" s="8" t="s">
        <v>149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5" t="n">
        <f aca="false">SUM(C9:Q9)</f>
        <v>0</v>
      </c>
      <c r="S9" s="12"/>
    </row>
    <row r="10" customFormat="false" ht="21.75" hidden="false" customHeight="true" outlineLevel="0" collapsed="false">
      <c r="A10" s="21" t="n">
        <v>8</v>
      </c>
      <c r="B10" s="8" t="s">
        <v>152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5" t="n">
        <f aca="false">SUM(C10:Q10)</f>
        <v>0</v>
      </c>
      <c r="S10" s="40"/>
    </row>
    <row r="11" customFormat="false" ht="21.75" hidden="false" customHeight="true" outlineLevel="0" collapsed="false">
      <c r="A11" s="21" t="n">
        <v>9</v>
      </c>
      <c r="B11" s="8" t="s">
        <v>157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5" t="n">
        <f aca="false">SUM(C11:Q11)</f>
        <v>0</v>
      </c>
      <c r="S11" s="12"/>
    </row>
    <row r="12" customFormat="false" ht="21.75" hidden="false" customHeight="true" outlineLevel="0" collapsed="false">
      <c r="A12" s="21" t="n">
        <v>10</v>
      </c>
      <c r="B12" s="8" t="s">
        <v>160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5" t="n">
        <f aca="false">SUM(C12:Q12)</f>
        <v>0</v>
      </c>
      <c r="S12" s="40"/>
    </row>
    <row r="13" customFormat="false" ht="21.75" hidden="false" customHeight="true" outlineLevel="0" collapsed="false">
      <c r="A13" s="21" t="n">
        <v>11</v>
      </c>
      <c r="B13" s="8" t="s">
        <v>164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5" t="n">
        <f aca="false">SUM(C13:Q13)</f>
        <v>0</v>
      </c>
      <c r="S13" s="12"/>
    </row>
    <row r="14" customFormat="false" ht="21.75" hidden="false" customHeight="true" outlineLevel="0" collapsed="false">
      <c r="A14" s="21" t="n">
        <v>12</v>
      </c>
      <c r="B14" s="8" t="s">
        <v>168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5" t="n">
        <f aca="false">SUM(C14:Q14)</f>
        <v>0</v>
      </c>
      <c r="S14" s="40"/>
    </row>
    <row r="15" customFormat="false" ht="21.75" hidden="false" customHeight="true" outlineLevel="0" collapsed="false">
      <c r="A15" s="21" t="n">
        <v>13</v>
      </c>
      <c r="B15" s="8" t="s">
        <v>174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5" t="n">
        <f aca="false">SUM(C15:Q15)</f>
        <v>0</v>
      </c>
      <c r="S15" s="12"/>
    </row>
    <row r="16" customFormat="false" ht="21.75" hidden="false" customHeight="true" outlineLevel="0" collapsed="false">
      <c r="A16" s="21" t="n">
        <v>14</v>
      </c>
      <c r="B16" s="8" t="s">
        <v>178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5" t="n">
        <f aca="false">SUM(C16:Q16)</f>
        <v>0</v>
      </c>
      <c r="S16" s="40"/>
    </row>
    <row r="17" customFormat="false" ht="21.75" hidden="false" customHeight="true" outlineLevel="0" collapsed="false">
      <c r="A17" s="21" t="n">
        <v>15</v>
      </c>
      <c r="B17" s="8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5" t="n">
        <f aca="false">SUM(C17:Q17)</f>
        <v>0</v>
      </c>
      <c r="S17" s="12"/>
    </row>
    <row r="18" customFormat="false" ht="21.75" hidden="false" customHeight="true" outlineLevel="0" collapsed="false">
      <c r="A18" s="21" t="n">
        <v>16</v>
      </c>
      <c r="B18" s="8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5" t="n">
        <f aca="false">SUM(C18:Q18)</f>
        <v>0</v>
      </c>
      <c r="S18" s="40"/>
    </row>
    <row r="19" customFormat="false" ht="21.75" hidden="false" customHeight="true" outlineLevel="0" collapsed="false">
      <c r="A19" s="21" t="n">
        <v>17</v>
      </c>
      <c r="B19" s="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5" t="n">
        <f aca="false">SUM(C19:Q19)</f>
        <v>0</v>
      </c>
      <c r="S19" s="12"/>
    </row>
    <row r="20" customFormat="false" ht="21.75" hidden="false" customHeight="true" outlineLevel="0" collapsed="false">
      <c r="A20" s="21" t="n">
        <v>18</v>
      </c>
      <c r="B20" s="8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5" t="n">
        <f aca="false">SUM(C20:Q20)</f>
        <v>0</v>
      </c>
      <c r="S20" s="40"/>
    </row>
    <row r="21" customFormat="false" ht="21.75" hidden="false" customHeight="true" outlineLevel="0" collapsed="false">
      <c r="A21" s="21" t="n">
        <v>19</v>
      </c>
      <c r="B21" s="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5" t="n">
        <f aca="false">SUM(C21:Q21)</f>
        <v>0</v>
      </c>
      <c r="S21" s="12"/>
    </row>
    <row r="22" customFormat="false" ht="21.75" hidden="false" customHeight="true" outlineLevel="0" collapsed="false">
      <c r="A22" s="21" t="n">
        <v>20</v>
      </c>
      <c r="B22" s="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5" t="n">
        <f aca="false">SUM(C22:Q22)</f>
        <v>0</v>
      </c>
      <c r="S22" s="40"/>
    </row>
    <row r="23" customFormat="false" ht="21.75" hidden="false" customHeight="true" outlineLevel="0" collapsed="false">
      <c r="A23" s="21" t="n">
        <v>21</v>
      </c>
      <c r="B23" s="8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5" t="n">
        <f aca="false">SUM(C23:Q23)</f>
        <v>0</v>
      </c>
      <c r="S23" s="12"/>
    </row>
    <row r="24" customFormat="false" ht="21.75" hidden="false" customHeight="true" outlineLevel="0" collapsed="false">
      <c r="A24" s="21" t="n">
        <v>22</v>
      </c>
      <c r="B24" s="8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5" t="n">
        <f aca="false">SUM(C24:Q24)</f>
        <v>0</v>
      </c>
      <c r="S24" s="40"/>
    </row>
    <row r="25" customFormat="false" ht="21.75" hidden="false" customHeight="true" outlineLevel="0" collapsed="false">
      <c r="A25" s="21" t="n">
        <v>23</v>
      </c>
      <c r="B25" s="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5" t="n">
        <f aca="false">SUM(C25:Q25)</f>
        <v>0</v>
      </c>
      <c r="S25" s="12"/>
    </row>
    <row r="26" customFormat="false" ht="21.75" hidden="false" customHeight="true" outlineLevel="0" collapsed="false">
      <c r="A26" s="21" t="n">
        <v>24</v>
      </c>
      <c r="B26" s="8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5" t="n">
        <f aca="false">SUM(C26:Q26)</f>
        <v>0</v>
      </c>
      <c r="S26" s="40"/>
    </row>
    <row r="27" customFormat="false" ht="21.75" hidden="false" customHeight="true" outlineLevel="0" collapsed="false">
      <c r="A27" s="21" t="n">
        <v>25</v>
      </c>
      <c r="B27" s="8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5" t="n">
        <f aca="false">SUM(C27:Q27)</f>
        <v>0</v>
      </c>
      <c r="S27" s="12"/>
    </row>
    <row r="28" customFormat="false" ht="21.75" hidden="false" customHeight="true" outlineLevel="0" collapsed="false">
      <c r="A28" s="21" t="n">
        <v>26</v>
      </c>
      <c r="B28" s="8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 t="n">
        <f aca="false">SUM(C28:Q28)</f>
        <v>0</v>
      </c>
      <c r="S28" s="40"/>
    </row>
    <row r="29" customFormat="false" ht="21.75" hidden="false" customHeight="true" outlineLevel="0" collapsed="false">
      <c r="A29" s="21" t="n">
        <v>27</v>
      </c>
      <c r="B29" s="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5" t="n">
        <f aca="false">SUM(C29:Q29)</f>
        <v>0</v>
      </c>
      <c r="S29" s="12"/>
    </row>
    <row r="30" customFormat="false" ht="21.75" hidden="false" customHeight="true" outlineLevel="0" collapsed="false">
      <c r="A30" s="21" t="n">
        <v>28</v>
      </c>
      <c r="B30" s="8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5" t="n">
        <f aca="false">SUM(C30:Q30)</f>
        <v>0</v>
      </c>
      <c r="S30" s="40"/>
    </row>
    <row r="31" customFormat="false" ht="21.75" hidden="false" customHeight="true" outlineLevel="0" collapsed="false">
      <c r="A31" s="21" t="n">
        <v>29</v>
      </c>
      <c r="B31" s="8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5" t="n">
        <f aca="false">SUM(C31:Q31)</f>
        <v>0</v>
      </c>
      <c r="S31" s="12"/>
    </row>
    <row r="32" customFormat="false" ht="21.75" hidden="false" customHeight="true" outlineLevel="0" collapsed="false">
      <c r="A32" s="21" t="n">
        <v>30</v>
      </c>
      <c r="B32" s="8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5" t="n">
        <f aca="false">SUM(C32:Q32)</f>
        <v>0</v>
      </c>
      <c r="S32" s="40"/>
    </row>
    <row r="33" customFormat="false" ht="21.75" hidden="false" customHeight="true" outlineLevel="0" collapsed="false">
      <c r="A33" s="21" t="n">
        <v>31</v>
      </c>
      <c r="B33" s="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5" t="n">
        <f aca="false">SUM(C33:Q33)</f>
        <v>0</v>
      </c>
      <c r="S33" s="12"/>
    </row>
    <row r="34" customFormat="false" ht="21.75" hidden="false" customHeight="true" outlineLevel="0" collapsed="false">
      <c r="A34" s="21" t="n">
        <v>32</v>
      </c>
      <c r="B34" s="8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 t="n">
        <f aca="false">SUM(C34:Q34)</f>
        <v>0</v>
      </c>
      <c r="S34" s="40"/>
    </row>
    <row r="35" customFormat="false" ht="21.75" hidden="false" customHeight="true" outlineLevel="0" collapsed="false">
      <c r="A35" s="21" t="n">
        <v>33</v>
      </c>
      <c r="B35" s="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5" t="n">
        <f aca="false">SUM(C35:Q35)</f>
        <v>0</v>
      </c>
      <c r="S35" s="12"/>
    </row>
    <row r="36" customFormat="false" ht="21.75" hidden="false" customHeight="true" outlineLevel="0" collapsed="false">
      <c r="A36" s="21" t="n">
        <v>34</v>
      </c>
      <c r="B36" s="8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5" t="n">
        <f aca="false">SUM(C36:Q36)</f>
        <v>0</v>
      </c>
      <c r="S36" s="40"/>
    </row>
    <row r="37" customFormat="false" ht="21.75" hidden="false" customHeight="true" outlineLevel="0" collapsed="false">
      <c r="A37" s="21" t="n">
        <v>35</v>
      </c>
      <c r="B37" s="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5" t="n">
        <f aca="false">SUM(C37:Q37)</f>
        <v>0</v>
      </c>
      <c r="S37" s="12"/>
    </row>
    <row r="38" customFormat="false" ht="21.75" hidden="false" customHeight="true" outlineLevel="0" collapsed="false">
      <c r="A38" s="21" t="n">
        <v>36</v>
      </c>
      <c r="B38" s="8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5" t="n">
        <f aca="false">SUM(C38:Q38)</f>
        <v>0</v>
      </c>
      <c r="S38" s="40"/>
    </row>
    <row r="39" customFormat="false" ht="21.75" hidden="false" customHeight="true" outlineLevel="0" collapsed="false">
      <c r="A39" s="21" t="n">
        <v>37</v>
      </c>
      <c r="B39" s="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5" t="n">
        <f aca="false">SUM(C39:Q39)</f>
        <v>0</v>
      </c>
      <c r="S39" s="12"/>
    </row>
    <row r="40" customFormat="false" ht="21.75" hidden="false" customHeight="true" outlineLevel="0" collapsed="false">
      <c r="A40" s="21" t="n">
        <v>38</v>
      </c>
      <c r="B40" s="8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5" t="n">
        <f aca="false">SUM(C40:Q40)</f>
        <v>0</v>
      </c>
      <c r="S40" s="40"/>
    </row>
    <row r="41" customFormat="false" ht="21.75" hidden="false" customHeight="true" outlineLevel="0" collapsed="false">
      <c r="A41" s="21" t="n">
        <v>39</v>
      </c>
      <c r="B41" s="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5" t="n">
        <f aca="false">SUM(C41:Q41)</f>
        <v>0</v>
      </c>
      <c r="S41" s="12"/>
    </row>
    <row r="42" customFormat="false" ht="21.75" hidden="false" customHeight="true" outlineLevel="0" collapsed="false">
      <c r="A42" s="21" t="n">
        <v>40</v>
      </c>
      <c r="B42" s="8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 t="n">
        <f aca="false">SUM(C42:Q42)</f>
        <v>0</v>
      </c>
      <c r="S42" s="40"/>
    </row>
    <row r="43" customFormat="false" ht="21.75" hidden="false" customHeight="true" outlineLevel="0" collapsed="false">
      <c r="A43" s="21" t="n">
        <v>41</v>
      </c>
      <c r="B43" s="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5" t="n">
        <f aca="false">SUM(C43:Q43)</f>
        <v>0</v>
      </c>
      <c r="S43" s="12"/>
    </row>
    <row r="44" customFormat="false" ht="21.75" hidden="false" customHeight="true" outlineLevel="0" collapsed="false">
      <c r="A44" s="21" t="n">
        <v>42</v>
      </c>
      <c r="B44" s="8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5" t="n">
        <f aca="false">SUM(C44:Q44)</f>
        <v>0</v>
      </c>
      <c r="S44" s="40"/>
    </row>
    <row r="45" customFormat="false" ht="21.75" hidden="false" customHeight="true" outlineLevel="0" collapsed="false">
      <c r="A45" s="21" t="n">
        <v>43</v>
      </c>
      <c r="B45" s="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5" t="n">
        <f aca="false">SUM(C45:Q45)</f>
        <v>0</v>
      </c>
      <c r="S45" s="12"/>
    </row>
    <row r="46" customFormat="false" ht="21.75" hidden="false" customHeight="true" outlineLevel="0" collapsed="false">
      <c r="A46" s="21" t="n">
        <v>44</v>
      </c>
      <c r="B46" s="8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5" t="n">
        <f aca="false">SUM(C46:Q46)</f>
        <v>0</v>
      </c>
      <c r="S46" s="40"/>
    </row>
    <row r="47" customFormat="false" ht="21.75" hidden="false" customHeight="true" outlineLevel="0" collapsed="false">
      <c r="A47" s="21" t="n">
        <v>45</v>
      </c>
      <c r="B47" s="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5" t="n">
        <f aca="false">SUM(C47:Q47)</f>
        <v>0</v>
      </c>
      <c r="S47" s="12"/>
    </row>
    <row r="48" customFormat="false" ht="21.75" hidden="false" customHeight="true" outlineLevel="0" collapsed="false">
      <c r="A48" s="21" t="n">
        <v>46</v>
      </c>
      <c r="B48" s="8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5" t="n">
        <f aca="false">SUM(C48:Q48)</f>
        <v>0</v>
      </c>
      <c r="S48" s="40"/>
    </row>
    <row r="49" customFormat="false" ht="21.75" hidden="false" customHeight="true" outlineLevel="0" collapsed="false">
      <c r="A49" s="21" t="n">
        <v>47</v>
      </c>
      <c r="B49" s="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5" t="n">
        <f aca="false">SUM(C49:Q49)</f>
        <v>0</v>
      </c>
      <c r="S49" s="12"/>
    </row>
    <row r="50" customFormat="false" ht="21.75" hidden="false" customHeight="true" outlineLevel="0" collapsed="false">
      <c r="A50" s="21" t="n">
        <v>48</v>
      </c>
      <c r="B50" s="8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5" t="n">
        <f aca="false">SUM(C50:Q50)</f>
        <v>0</v>
      </c>
      <c r="S50" s="40"/>
    </row>
    <row r="51" customFormat="false" ht="21.75" hidden="false" customHeight="true" outlineLevel="0" collapsed="false">
      <c r="A51" s="21" t="n">
        <v>49</v>
      </c>
      <c r="B51" s="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5" t="n">
        <f aca="false">SUM(C51:Q51)</f>
        <v>0</v>
      </c>
      <c r="S51" s="12"/>
    </row>
    <row r="52" customFormat="false" ht="21.75" hidden="false" customHeight="true" outlineLevel="0" collapsed="false">
      <c r="A52" s="21" t="n">
        <v>50</v>
      </c>
      <c r="B52" s="8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5" t="n">
        <f aca="false">SUM(C52:Q52)</f>
        <v>0</v>
      </c>
      <c r="S52" s="40"/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B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22"/>
    <col collapsed="false" customWidth="true" hidden="false" outlineLevel="0" max="26" min="6" style="0" width="8.71"/>
  </cols>
  <sheetData>
    <row r="1" customFormat="false" ht="36" hidden="false" customHeight="true" outlineLevel="0" collapsed="false">
      <c r="B1" s="41" t="s">
        <v>240</v>
      </c>
      <c r="C1" s="41"/>
      <c r="D1" s="41"/>
      <c r="E1" s="41"/>
    </row>
    <row r="2" customFormat="false" ht="24" hidden="false" customHeight="true" outlineLevel="0" collapsed="false">
      <c r="B2" s="42" t="s">
        <v>241</v>
      </c>
      <c r="C2" s="42"/>
      <c r="D2" s="42"/>
      <c r="E2" s="42"/>
    </row>
    <row r="4" customFormat="false" ht="27.75" hidden="false" customHeight="true" outlineLevel="0" collapsed="false">
      <c r="B4" s="43" t="s">
        <v>242</v>
      </c>
      <c r="C4" s="44" t="n">
        <f aca="false">COUNTA('Project Data'!B4:B53)</f>
        <v>14</v>
      </c>
    </row>
    <row r="5" customFormat="false" ht="27.75" hidden="false" customHeight="true" outlineLevel="0" collapsed="false">
      <c r="B5" s="43" t="s">
        <v>243</v>
      </c>
      <c r="C5" s="45" t="n">
        <f aca="false">COUNTIFS('Project Data'!B4:B53,"&lt;&gt;",'Project Data'!P4:P53,"&lt;&gt;",'Project Data'!X4:X53,"&lt;&gt;",'Project Data'!AI4:AI53,"&lt;&gt;")</f>
        <v>14</v>
      </c>
    </row>
    <row r="6" customFormat="false" ht="27.75" hidden="false" customHeight="true" outlineLevel="0" collapsed="false">
      <c r="B6" s="43" t="s">
        <v>244</v>
      </c>
      <c r="C6" s="45" t="n">
        <f aca="false">SUM('Project Data'!P4:P53)</f>
        <v>326.5</v>
      </c>
    </row>
    <row r="7" customFormat="false" ht="27.75" hidden="false" customHeight="true" outlineLevel="0" collapsed="false">
      <c r="B7" s="43" t="s">
        <v>245</v>
      </c>
      <c r="C7" s="44" t="n">
        <f aca="false">IFERROR(AVERAGE('Project Data'!P4:P53),0)</f>
        <v>23.3214285714286</v>
      </c>
    </row>
    <row r="8" customFormat="false" ht="27.75" hidden="false" customHeight="true" outlineLevel="0" collapsed="false">
      <c r="B8" s="43" t="s">
        <v>246</v>
      </c>
      <c r="C8" s="44" t="n">
        <f aca="false">IFERROR(MAX('Project Data'!P4:P53),0)</f>
        <v>91.56</v>
      </c>
    </row>
    <row r="9" customFormat="false" ht="27.75" hidden="false" customHeight="true" outlineLevel="0" collapsed="false">
      <c r="B9" s="43" t="s">
        <v>247</v>
      </c>
      <c r="C9" s="44" t="n">
        <f aca="false">IFERROR(MIN('Project Data'!P4:P53),0)</f>
        <v>1.85</v>
      </c>
    </row>
    <row r="10" customFormat="false" ht="27.75" hidden="false" customHeight="true" outlineLevel="0" collapsed="false">
      <c r="B10" s="43" t="s">
        <v>248</v>
      </c>
      <c r="C10" s="45" t="n">
        <f aca="false">COUNTIF('Project Data'!AI4:AI53,"YES")</f>
        <v>14</v>
      </c>
    </row>
    <row r="11" customFormat="false" ht="27.75" hidden="false" customHeight="true" outlineLevel="0" collapsed="false">
      <c r="B11" s="43" t="s">
        <v>249</v>
      </c>
      <c r="C11" s="46" t="n">
        <f aca="false">COUNTIF('Project Data'!AI4:AI53,"NO")</f>
        <v>0</v>
      </c>
    </row>
    <row r="12" customFormat="false" ht="27.75" hidden="false" customHeight="true" outlineLevel="0" collapsed="false">
      <c r="B12" s="43" t="s">
        <v>250</v>
      </c>
      <c r="C12" s="47" t="n">
        <f aca="false">IFERROR(C10/(C10+C11),0)</f>
        <v>1</v>
      </c>
    </row>
    <row r="14" customFormat="false" ht="36" hidden="false" customHeight="true" outlineLevel="0" collapsed="false">
      <c r="B14" s="48" t="s">
        <v>251</v>
      </c>
      <c r="C14" s="48"/>
      <c r="D14" s="48"/>
      <c r="E14" s="48"/>
    </row>
    <row r="15" customFormat="false" ht="25.5" hidden="false" customHeight="true" outlineLevel="0" collapsed="false">
      <c r="B15" s="49" t="s">
        <v>252</v>
      </c>
      <c r="C15" s="50" t="s">
        <v>253</v>
      </c>
      <c r="D15" s="50"/>
      <c r="E15" s="50"/>
    </row>
    <row r="16" customFormat="false" ht="25.5" hidden="false" customHeight="true" outlineLevel="0" collapsed="false">
      <c r="B16" s="51" t="s">
        <v>254</v>
      </c>
      <c r="C16" s="52" t="s">
        <v>255</v>
      </c>
      <c r="D16" s="52"/>
      <c r="E16" s="52"/>
    </row>
    <row r="17" customFormat="false" ht="25.5" hidden="false" customHeight="true" outlineLevel="0" collapsed="false">
      <c r="B17" s="53" t="s">
        <v>256</v>
      </c>
      <c r="C17" s="9" t="s">
        <v>257</v>
      </c>
      <c r="D17" s="9"/>
      <c r="E17" s="9"/>
    </row>
    <row r="18" customFormat="false" ht="25.5" hidden="false" customHeight="true" outlineLevel="0" collapsed="false">
      <c r="B18" s="54" t="s">
        <v>258</v>
      </c>
      <c r="C18" s="55" t="s">
        <v>259</v>
      </c>
      <c r="D18" s="55"/>
      <c r="E18" s="55"/>
    </row>
    <row r="19" customFormat="false" ht="25.5" hidden="false" customHeight="true" outlineLevel="0" collapsed="false">
      <c r="B19" s="56" t="s">
        <v>260</v>
      </c>
      <c r="C19" s="57" t="s">
        <v>261</v>
      </c>
      <c r="D19" s="57"/>
      <c r="E19" s="57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E1"/>
    <mergeCell ref="B2:E2"/>
    <mergeCell ref="B14:E14"/>
    <mergeCell ref="C15:E15"/>
    <mergeCell ref="C16:E16"/>
    <mergeCell ref="C17:E17"/>
    <mergeCell ref="C18:E18"/>
    <mergeCell ref="C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2026-07-21T05:25:27Z</dcterms:created>
  <dc:creator>openpyxl</dc:creator>
  <dc:description/>
  <dc:language>en-US</dc:language>
  <cp:lastModifiedBy/>
  <dcterms:modified xsi:type="dcterms:W3CDTF">2026-07-21T05:25:28Z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